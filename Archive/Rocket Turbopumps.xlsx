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bopumps" sheetId="1" r:id="rId5"/>
    <sheet state="visible" name="Fluids" sheetId="2" r:id="rId6"/>
  </sheets>
  <definedNames/>
  <calcPr/>
</workbook>
</file>

<file path=xl/sharedStrings.xml><?xml version="1.0" encoding="utf-8"?>
<sst xmlns="http://schemas.openxmlformats.org/spreadsheetml/2006/main" count="163" uniqueCount="91">
  <si>
    <t>Engine</t>
  </si>
  <si>
    <t>Source</t>
  </si>
  <si>
    <t>Context</t>
  </si>
  <si>
    <t>Oxidizer</t>
  </si>
  <si>
    <t>Fuel</t>
  </si>
  <si>
    <t>Cycle Type</t>
  </si>
  <si>
    <t>Country</t>
  </si>
  <si>
    <t>Year of First Use</t>
  </si>
  <si>
    <t>Application</t>
  </si>
  <si>
    <t>Fuel Shaft Speed, RPM</t>
  </si>
  <si>
    <t>Ox Shaft Speed, RPM</t>
  </si>
  <si>
    <t>Impeller Geometry</t>
  </si>
  <si>
    <t>Ox Turbine Ratio</t>
  </si>
  <si>
    <t>Fuel Turbine Ratio</t>
  </si>
  <si>
    <t>Ox Discharge Pressure (bar)</t>
  </si>
  <si>
    <t>Fuel Discharge Pressure (bar)</t>
  </si>
  <si>
    <t>Chamber Pressure (bar)</t>
  </si>
  <si>
    <t>Thrust (kN)</t>
  </si>
  <si>
    <t>Ox Mass Flow (kg/s)</t>
  </si>
  <si>
    <t>Fuel Mass Flow (kg/s)</t>
  </si>
  <si>
    <t>ISP</t>
  </si>
  <si>
    <t>Ox Density</t>
  </si>
  <si>
    <t>Fuel Density</t>
  </si>
  <si>
    <t>Ox Specific Speed</t>
  </si>
  <si>
    <t>Fuel Specific Speed</t>
  </si>
  <si>
    <t>Traditional Student Engines</t>
  </si>
  <si>
    <t>Ox Unitless Ns</t>
  </si>
  <si>
    <t>Fuel Unitless Ns</t>
  </si>
  <si>
    <t>N2O</t>
  </si>
  <si>
    <t>RP-1</t>
  </si>
  <si>
    <t>Gas Generator</t>
  </si>
  <si>
    <t>F-1</t>
  </si>
  <si>
    <t>Saturn V First Stage</t>
  </si>
  <si>
    <t>LOX</t>
  </si>
  <si>
    <t>USA</t>
  </si>
  <si>
    <t>First Stage</t>
  </si>
  <si>
    <t>Radial</t>
  </si>
  <si>
    <t>RS-25 / SSME</t>
  </si>
  <si>
    <t>Space Shuttle Main Engine</t>
  </si>
  <si>
    <t>Hydrogen</t>
  </si>
  <si>
    <t>Staged Combustion</t>
  </si>
  <si>
    <t>First Stage, Second Stage</t>
  </si>
  <si>
    <t>Axial/Radial</t>
  </si>
  <si>
    <t>J-2</t>
  </si>
  <si>
    <t>Saturn V Second/Third Stage</t>
  </si>
  <si>
    <t>Second Stage</t>
  </si>
  <si>
    <t>RD-107</t>
  </si>
  <si>
    <t>R-7/Soyuz First Stage</t>
  </si>
  <si>
    <t>USSR (Russia)</t>
  </si>
  <si>
    <t>RD-180</t>
  </si>
  <si>
    <t>Atlas V First Stage</t>
  </si>
  <si>
    <t>Russia</t>
  </si>
  <si>
    <t>Merlin</t>
  </si>
  <si>
    <t>Falcon 9 First/Second Stage</t>
  </si>
  <si>
    <t>Second Stage, First Stage</t>
  </si>
  <si>
    <t>Raptor</t>
  </si>
  <si>
    <t>Starship</t>
  </si>
  <si>
    <t>Methane</t>
  </si>
  <si>
    <t>Full-Flow Staged Combustion</t>
  </si>
  <si>
    <t xml:space="preserve">RL10 </t>
  </si>
  <si>
    <t>Centaur/Delta Cryogenic Second Stage</t>
  </si>
  <si>
    <t>Expander</t>
  </si>
  <si>
    <t>HM7B</t>
  </si>
  <si>
    <t>Ariane Upper Stage</t>
  </si>
  <si>
    <t>France</t>
  </si>
  <si>
    <t>Vulcain</t>
  </si>
  <si>
    <t>???</t>
  </si>
  <si>
    <t>Blue Steel Missile</t>
  </si>
  <si>
    <t>HTP</t>
  </si>
  <si>
    <t>Kerosene</t>
  </si>
  <si>
    <t>YF-100</t>
  </si>
  <si>
    <t>Long March 5/7</t>
  </si>
  <si>
    <t>China</t>
  </si>
  <si>
    <t>Rutherford</t>
  </si>
  <si>
    <t>Electron</t>
  </si>
  <si>
    <t>Electric Pump</t>
  </si>
  <si>
    <t>New Zealand</t>
  </si>
  <si>
    <t>MIT MEMS TPU</t>
  </si>
  <si>
    <r>
      <rPr>
        <color rgb="FF1155CC"/>
        <u/>
      </rPr>
      <t>dspace.mit.edu/handle/1721.1/8129</t>
    </r>
  </si>
  <si>
    <t>JP-7</t>
  </si>
  <si>
    <t>LUMEN DLR</t>
  </si>
  <si>
    <t>SP2022_IAC-22C413x73654.pdf
https://europeanspaceflight.com/wp-content/uploads/2022/11/LUMEN.pdf?utm_campaign=Europe%20in%20Space&amp;utm_medium=email&amp;utm_source=Revue%20newsletter</t>
  </si>
  <si>
    <t>Lunar Lander ESA</t>
  </si>
  <si>
    <t>https://asmedigitalcollection.asme.org/GT/proceedings/GT2023/87110/V13DT35A023/1168624</t>
  </si>
  <si>
    <t>Water</t>
  </si>
  <si>
    <t>Tohoku University Micro Turbine</t>
  </si>
  <si>
    <t>SAFFIRE</t>
  </si>
  <si>
    <t>Delphin</t>
  </si>
  <si>
    <t xml:space="preserve">Beta 1 </t>
  </si>
  <si>
    <t>IHI 1 Ton</t>
  </si>
  <si>
    <t>OT-2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</si>
</sst>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1155CC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Turbopum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id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79296875"/>
          <c:y val="0.1117693522906792"/>
          <c:w val="0.83203125"/>
          <c:h val="0.6243417588204321"/>
        </c:manualLayout>
      </c:layout>
      <c:scatterChart>
        <c:scatterStyle val="lineMarker"/>
        <c:ser>
          <c:idx val="0"/>
          <c:order val="0"/>
          <c:tx>
            <c:strRef>
              <c:f>Turbopumps!$X$1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Turbopumps!$R$2:$R$999</c:f>
            </c:numRef>
          </c:xVal>
          <c:yVal>
            <c:numRef>
              <c:f>Turbopumps!$X$2:$X$999</c:f>
              <c:numCache/>
            </c:numRef>
          </c:yVal>
        </c:ser>
        <c:ser>
          <c:idx val="1"/>
          <c:order val="1"/>
          <c:tx>
            <c:strRef>
              <c:f>Turbopumps!$Y$1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8"/>
            <c:marker>
              <c:symbol val="none"/>
            </c:marker>
          </c:dPt>
          <c:xVal>
            <c:numRef>
              <c:f>Turbopumps!$R$2:$R$999</c:f>
            </c:numRef>
          </c:xVal>
          <c:yVal>
            <c:numRef>
              <c:f>Turbopumps!$Y$2:$Y$999</c:f>
              <c:numCache/>
            </c:numRef>
          </c:yVal>
        </c:ser>
        <c:ser>
          <c:idx val="2"/>
          <c:order val="2"/>
          <c:tx>
            <c:strRef>
              <c:f>Turbopumps!$Z$1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Turbopumps!$R$2:$R$999</c:f>
            </c:numRef>
          </c:xVal>
          <c:yVal>
            <c:numRef>
              <c:f>Turbopumps!$Z$2:$Z$999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63314"/>
        <c:axId val="1532018520"/>
      </c:scatterChart>
      <c:valAx>
        <c:axId val="1978963314"/>
        <c:scaling>
          <c:orientation val="minMax"/>
          <c:max val="999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Thrust (kN)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018520"/>
      </c:valAx>
      <c:valAx>
        <c:axId val="1532018520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963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933450</xdr:colOff>
      <xdr:row>6</xdr:row>
      <xdr:rowOff>219075</xdr:rowOff>
    </xdr:from>
    <xdr:ext cx="4876800" cy="3086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3" displayName="Table1" name="Table1" id="1">
  <tableColumns count="28">
    <tableColumn name="Engine" id="1"/>
    <tableColumn name="Source" id="2"/>
    <tableColumn name="Context" id="3"/>
    <tableColumn name="Oxidizer" id="4"/>
    <tableColumn name="Fuel" id="5"/>
    <tableColumn name="Cycle Type" id="6"/>
    <tableColumn name="Country" id="7"/>
    <tableColumn name="Year of First Use" id="8"/>
    <tableColumn name="Application" id="9"/>
    <tableColumn name="Fuel Shaft Speed, RPM" id="10"/>
    <tableColumn name="Ox Shaft Speed, RPM" id="11"/>
    <tableColumn name="Impeller Geometry" id="12"/>
    <tableColumn name="Ox Turbine Ratio" id="13"/>
    <tableColumn name="Fuel Turbine Ratio" id="14"/>
    <tableColumn name="Ox Discharge Pressure (bar)" id="15"/>
    <tableColumn name="Fuel Discharge Pressure (bar)" id="16"/>
    <tableColumn name="Chamber Pressure (bar)" id="17"/>
    <tableColumn name="Thrust (kN)" id="18"/>
    <tableColumn name="Ox Mass Flow (kg/s)" id="19"/>
    <tableColumn name="Fuel Mass Flow (kg/s)" id="20"/>
    <tableColumn name="ISP" id="21"/>
    <tableColumn name="Ox Density" id="22"/>
    <tableColumn name="Fuel Density" id="23"/>
    <tableColumn name="Ox Specific Speed" id="24"/>
    <tableColumn name="Fuel Specific Speed" id="25"/>
    <tableColumn name="Traditional Student Engines" id="26"/>
    <tableColumn name="Ox Unitless Ns" id="27"/>
    <tableColumn name="Fuel Unitless Ns" id="28"/>
  </tableColumns>
  <tableStyleInfo name="Turbopumps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e2" name="Table2" id="2">
  <tableColumns count="4">
    <tableColumn name="Oxidizer" id="1"/>
    <tableColumn name="Ox Density" id="2"/>
    <tableColumn name="Fuel" id="3"/>
    <tableColumn name="Fuel Density" id="4"/>
  </tableColumns>
  <tableStyleInfo name="Flui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space.mit.edu/handle/1721.1/8129" TargetMode="External"/><Relationship Id="rId2" Type="http://schemas.openxmlformats.org/officeDocument/2006/relationships/hyperlink" Target="https://www.ecosimpro.com/wp-content/uploads/2022/11/SP2022_IAC-22C413x73654.pdf" TargetMode="External"/><Relationship Id="rId3" Type="http://schemas.openxmlformats.org/officeDocument/2006/relationships/hyperlink" Target="https://asmedigitalcollection.asme.org/GT/proceedings/GT2023/87110/V13DT35A023/1168624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38"/>
    <col customWidth="1" min="4" max="4" width="14.75"/>
    <col customWidth="1" min="5" max="8" width="13.38"/>
    <col customWidth="1" min="9" max="9" width="16.25"/>
    <col customWidth="1" min="10" max="17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ht="22.5" customHeight="1">
      <c r="A2" s="4" t="s">
        <v>25</v>
      </c>
      <c r="B2" s="5"/>
      <c r="C2" s="5"/>
      <c r="D2" s="6" t="s">
        <v>28</v>
      </c>
      <c r="E2" s="6" t="s">
        <v>29</v>
      </c>
      <c r="F2" s="6" t="s">
        <v>30</v>
      </c>
      <c r="G2" s="5"/>
      <c r="H2" s="7"/>
      <c r="I2" s="8"/>
      <c r="J2" s="9">
        <v>20000.0</v>
      </c>
      <c r="K2" s="9">
        <v>20000.0</v>
      </c>
      <c r="L2" s="5"/>
      <c r="M2" s="7"/>
      <c r="N2" s="7"/>
      <c r="O2" s="9">
        <v>20.0</v>
      </c>
      <c r="P2" s="9">
        <v>20.0</v>
      </c>
      <c r="Q2" s="9">
        <v>15.0</v>
      </c>
      <c r="R2" s="9">
        <v>2.1</v>
      </c>
      <c r="S2" s="9">
        <v>0.75</v>
      </c>
      <c r="T2" s="9">
        <v>0.3</v>
      </c>
      <c r="U2" s="10">
        <f t="shared" ref="U2:U23" si="1">R2*1000/(S2+T2)/9.81</f>
        <v>203.8735984</v>
      </c>
      <c r="V2" s="11">
        <f>VLOOKUP(D2,Fluids!$A$2:$B$10,2, FALSE)</f>
        <v>800</v>
      </c>
      <c r="W2" s="12">
        <f>VLOOKUP(E2,Fluids!$C$2:$D$10,2, FALSE)</f>
        <v>820</v>
      </c>
      <c r="X2" s="13"/>
      <c r="Y2" s="13"/>
      <c r="Z2" s="13">
        <f>J2*sqrt(T2/W2)/(POW(P2*10,0.75))</f>
        <v>7.193018878</v>
      </c>
      <c r="AA2" s="13">
        <f t="shared" ref="AA2:AA23" si="2">K2*2*PI()/60*sqrt(S2/V2)/(POW(9.81*O2*10,0.75))</f>
        <v>0.2175304206</v>
      </c>
      <c r="AB2" s="13">
        <f t="shared" ref="AB2:AB23" si="3">J2*2*PI()/60*sqrt(T2/W2)/(POW(9.81*P2*10,0.75))</f>
        <v>0.1358901764</v>
      </c>
    </row>
    <row r="3" ht="22.5" customHeight="1">
      <c r="A3" s="5" t="s">
        <v>31</v>
      </c>
      <c r="B3" s="5"/>
      <c r="C3" s="5" t="s">
        <v>32</v>
      </c>
      <c r="D3" s="6" t="s">
        <v>33</v>
      </c>
      <c r="E3" s="14" t="s">
        <v>29</v>
      </c>
      <c r="F3" s="14" t="s">
        <v>30</v>
      </c>
      <c r="G3" s="5" t="s">
        <v>34</v>
      </c>
      <c r="H3" s="7">
        <v>1967.0</v>
      </c>
      <c r="I3" s="9" t="s">
        <v>35</v>
      </c>
      <c r="J3" s="7">
        <v>5488.0</v>
      </c>
      <c r="K3" s="7">
        <v>5488.0</v>
      </c>
      <c r="L3" s="5" t="s">
        <v>36</v>
      </c>
      <c r="M3" s="7"/>
      <c r="N3" s="7"/>
      <c r="O3" s="9">
        <v>110.0</v>
      </c>
      <c r="P3" s="9">
        <v>128.0</v>
      </c>
      <c r="Q3" s="9">
        <v>70.0</v>
      </c>
      <c r="R3" s="7">
        <v>6770.0</v>
      </c>
      <c r="S3" s="7">
        <v>2000.0</v>
      </c>
      <c r="T3" s="7">
        <v>740.0</v>
      </c>
      <c r="U3" s="10">
        <f t="shared" si="1"/>
        <v>251.8657411</v>
      </c>
      <c r="V3" s="11">
        <f>VLOOKUP(D3,Fluids!$A$2:$B$10,2, FALSE)</f>
        <v>1141</v>
      </c>
      <c r="W3" s="12">
        <f>VLOOKUP(E3,Fluids!$C$2:$D$10,2, FALSE)</f>
        <v>820</v>
      </c>
      <c r="X3" s="13">
        <f t="shared" ref="X3:X23" si="4">K3*sqrt(S3/V3)/(POW(O3*10,0.75))</f>
        <v>38.04011003</v>
      </c>
      <c r="Y3" s="13">
        <f t="shared" ref="Y3:Y23" si="5">J3*sqrt(T3/W3)/(POW(P3*10,0.75))</f>
        <v>24.36214699</v>
      </c>
      <c r="Z3" s="13"/>
      <c r="AA3" s="13">
        <f t="shared" si="2"/>
        <v>0.7186519807</v>
      </c>
      <c r="AB3" s="13">
        <f t="shared" si="3"/>
        <v>0.4602485422</v>
      </c>
    </row>
    <row r="4" ht="22.5" customHeight="1">
      <c r="A4" s="4" t="s">
        <v>37</v>
      </c>
      <c r="B4" s="4"/>
      <c r="C4" s="5" t="s">
        <v>38</v>
      </c>
      <c r="D4" s="14" t="s">
        <v>33</v>
      </c>
      <c r="E4" s="14" t="s">
        <v>39</v>
      </c>
      <c r="F4" s="14" t="s">
        <v>40</v>
      </c>
      <c r="G4" s="5" t="s">
        <v>34</v>
      </c>
      <c r="H4" s="7">
        <v>1981.0</v>
      </c>
      <c r="I4" s="9" t="s">
        <v>41</v>
      </c>
      <c r="J4" s="7">
        <v>36000.0</v>
      </c>
      <c r="K4" s="7">
        <v>28120.0</v>
      </c>
      <c r="L4" s="5" t="s">
        <v>42</v>
      </c>
      <c r="M4" s="7"/>
      <c r="N4" s="7"/>
      <c r="O4" s="9">
        <v>296.0</v>
      </c>
      <c r="P4" s="9">
        <v>449.0</v>
      </c>
      <c r="Q4" s="9">
        <v>206.0</v>
      </c>
      <c r="R4" s="7">
        <v>2270.0</v>
      </c>
      <c r="S4" s="7">
        <v>470.0</v>
      </c>
      <c r="T4" s="7">
        <v>75.0</v>
      </c>
      <c r="U4" s="10">
        <f t="shared" si="1"/>
        <v>424.5807966</v>
      </c>
      <c r="V4" s="11">
        <f>VLOOKUP(D4,Fluids!$A$2:$B$10,2, FALSE)</f>
        <v>1141</v>
      </c>
      <c r="W4" s="12">
        <f>VLOOKUP(E4,Fluids!$C$2:$D$10,2, FALSE)</f>
        <v>71</v>
      </c>
      <c r="X4" s="13">
        <f t="shared" si="4"/>
        <v>44.97308087</v>
      </c>
      <c r="Y4" s="13">
        <f t="shared" si="5"/>
        <v>67.45578526</v>
      </c>
      <c r="Z4" s="13"/>
      <c r="AA4" s="13">
        <f t="shared" si="2"/>
        <v>0.8496293417</v>
      </c>
      <c r="AB4" s="13">
        <f t="shared" si="3"/>
        <v>1.274371542</v>
      </c>
    </row>
    <row r="5" ht="22.5" customHeight="1">
      <c r="A5" s="4" t="s">
        <v>43</v>
      </c>
      <c r="B5" s="4"/>
      <c r="C5" s="5" t="s">
        <v>44</v>
      </c>
      <c r="D5" s="14" t="s">
        <v>33</v>
      </c>
      <c r="E5" s="14" t="s">
        <v>39</v>
      </c>
      <c r="F5" s="14" t="s">
        <v>30</v>
      </c>
      <c r="G5" s="5" t="s">
        <v>34</v>
      </c>
      <c r="H5" s="7">
        <v>1964.0</v>
      </c>
      <c r="I5" s="8" t="s">
        <v>45</v>
      </c>
      <c r="J5" s="7">
        <v>27130.0</v>
      </c>
      <c r="K5" s="7">
        <v>8753.0</v>
      </c>
      <c r="L5" s="5" t="s">
        <v>42</v>
      </c>
      <c r="M5" s="7"/>
      <c r="N5" s="7"/>
      <c r="O5" s="9">
        <v>74.0</v>
      </c>
      <c r="P5" s="15">
        <v>84.0</v>
      </c>
      <c r="Q5" s="9">
        <v>53.0</v>
      </c>
      <c r="R5" s="7">
        <v>1033.0</v>
      </c>
      <c r="S5" s="7">
        <v>170.0</v>
      </c>
      <c r="T5" s="7">
        <v>30.0</v>
      </c>
      <c r="U5" s="10">
        <f t="shared" si="1"/>
        <v>526.5035678</v>
      </c>
      <c r="V5" s="11">
        <f>VLOOKUP(D5,Fluids!$A$2:$B$10,2, FALSE)</f>
        <v>1141</v>
      </c>
      <c r="W5" s="12">
        <f>VLOOKUP(E5,Fluids!$C$2:$D$10,2, FALSE)</f>
        <v>71</v>
      </c>
      <c r="X5" s="13">
        <f t="shared" si="4"/>
        <v>23.81303647</v>
      </c>
      <c r="Y5" s="13">
        <f t="shared" si="5"/>
        <v>113.0242886</v>
      </c>
      <c r="Z5" s="13"/>
      <c r="AA5" s="13">
        <f t="shared" si="2"/>
        <v>0.449874772</v>
      </c>
      <c r="AB5" s="13">
        <f t="shared" si="3"/>
        <v>2.135249578</v>
      </c>
    </row>
    <row r="6" ht="22.5" customHeight="1">
      <c r="A6" s="5" t="s">
        <v>46</v>
      </c>
      <c r="B6" s="5"/>
      <c r="C6" s="5" t="s">
        <v>47</v>
      </c>
      <c r="D6" s="14" t="s">
        <v>33</v>
      </c>
      <c r="E6" s="14" t="s">
        <v>29</v>
      </c>
      <c r="F6" s="14" t="s">
        <v>30</v>
      </c>
      <c r="G6" s="5" t="s">
        <v>48</v>
      </c>
      <c r="H6" s="7">
        <v>1957.0</v>
      </c>
      <c r="I6" s="8" t="s">
        <v>35</v>
      </c>
      <c r="J6" s="7">
        <v>13400.0</v>
      </c>
      <c r="K6" s="7">
        <v>13400.0</v>
      </c>
      <c r="L6" s="5" t="s">
        <v>36</v>
      </c>
      <c r="M6" s="7"/>
      <c r="N6" s="7"/>
      <c r="O6" s="9">
        <v>131.0</v>
      </c>
      <c r="P6" s="9">
        <v>131.0</v>
      </c>
      <c r="Q6" s="9">
        <v>60.0</v>
      </c>
      <c r="R6" s="7">
        <v>815.0</v>
      </c>
      <c r="S6" s="7">
        <v>280.0</v>
      </c>
      <c r="T6" s="7">
        <v>100.0</v>
      </c>
      <c r="U6" s="10">
        <f t="shared" si="1"/>
        <v>218.6276088</v>
      </c>
      <c r="V6" s="11">
        <f>VLOOKUP(D6,Fluids!$A$2:$B$10,2, FALSE)</f>
        <v>1141</v>
      </c>
      <c r="W6" s="12">
        <f>VLOOKUP(E6,Fluids!$C$2:$D$10,2, FALSE)</f>
        <v>820</v>
      </c>
      <c r="X6" s="13">
        <f t="shared" si="4"/>
        <v>30.48509271</v>
      </c>
      <c r="Y6" s="13">
        <f t="shared" si="5"/>
        <v>21.49039512</v>
      </c>
      <c r="Z6" s="13"/>
      <c r="AA6" s="13">
        <f t="shared" si="2"/>
        <v>0.5759229466</v>
      </c>
      <c r="AB6" s="13">
        <f t="shared" si="3"/>
        <v>0.4059955401</v>
      </c>
    </row>
    <row r="7" ht="22.5" customHeight="1">
      <c r="A7" s="5" t="s">
        <v>49</v>
      </c>
      <c r="B7" s="5"/>
      <c r="C7" s="5" t="s">
        <v>50</v>
      </c>
      <c r="D7" s="14" t="s">
        <v>33</v>
      </c>
      <c r="E7" s="14" t="s">
        <v>29</v>
      </c>
      <c r="F7" s="14" t="s">
        <v>40</v>
      </c>
      <c r="G7" s="5" t="s">
        <v>51</v>
      </c>
      <c r="H7" s="7">
        <v>2000.0</v>
      </c>
      <c r="I7" s="8" t="s">
        <v>35</v>
      </c>
      <c r="J7" s="7">
        <v>15000.0</v>
      </c>
      <c r="K7" s="7">
        <v>15000.0</v>
      </c>
      <c r="L7" s="5" t="s">
        <v>36</v>
      </c>
      <c r="M7" s="7"/>
      <c r="N7" s="7"/>
      <c r="O7" s="9">
        <v>552.0</v>
      </c>
      <c r="P7" s="9">
        <v>345.0</v>
      </c>
      <c r="Q7" s="9">
        <v>257.0</v>
      </c>
      <c r="R7" s="7">
        <v>3830.0</v>
      </c>
      <c r="S7" s="7">
        <v>1100.0</v>
      </c>
      <c r="T7" s="7">
        <v>400.0</v>
      </c>
      <c r="U7" s="10">
        <f t="shared" si="1"/>
        <v>260.2786273</v>
      </c>
      <c r="V7" s="11">
        <f>VLOOKUP(D7,Fluids!$A$2:$B$10,2, FALSE)</f>
        <v>1141</v>
      </c>
      <c r="W7" s="12">
        <f>VLOOKUP(E7,Fluids!$C$2:$D$10,2, FALSE)</f>
        <v>820</v>
      </c>
      <c r="X7" s="13">
        <f t="shared" si="4"/>
        <v>22.99802126</v>
      </c>
      <c r="Y7" s="13">
        <f t="shared" si="5"/>
        <v>23.27287341</v>
      </c>
      <c r="Z7" s="13"/>
      <c r="AA7" s="13">
        <f t="shared" si="2"/>
        <v>0.4344775427</v>
      </c>
      <c r="AB7" s="13">
        <f t="shared" si="3"/>
        <v>0.4396700367</v>
      </c>
    </row>
    <row r="8" ht="22.5" customHeight="1">
      <c r="A8" s="5" t="s">
        <v>52</v>
      </c>
      <c r="B8" s="5"/>
      <c r="C8" s="5" t="s">
        <v>53</v>
      </c>
      <c r="D8" s="14" t="s">
        <v>33</v>
      </c>
      <c r="E8" s="14" t="s">
        <v>29</v>
      </c>
      <c r="F8" s="14" t="s">
        <v>30</v>
      </c>
      <c r="G8" s="5" t="s">
        <v>34</v>
      </c>
      <c r="H8" s="7">
        <v>2006.0</v>
      </c>
      <c r="I8" s="8" t="s">
        <v>54</v>
      </c>
      <c r="J8" s="7">
        <v>18500.0</v>
      </c>
      <c r="K8" s="7">
        <v>18500.0</v>
      </c>
      <c r="L8" s="5" t="s">
        <v>36</v>
      </c>
      <c r="M8" s="7"/>
      <c r="N8" s="7"/>
      <c r="O8" s="9">
        <v>172.0</v>
      </c>
      <c r="P8" s="9">
        <v>172.0</v>
      </c>
      <c r="Q8" s="9">
        <v>97.0</v>
      </c>
      <c r="R8" s="7">
        <v>845.0</v>
      </c>
      <c r="S8" s="7">
        <v>300.0</v>
      </c>
      <c r="T8" s="7">
        <v>110.0</v>
      </c>
      <c r="U8" s="10">
        <f t="shared" si="1"/>
        <v>210.0892569</v>
      </c>
      <c r="V8" s="11">
        <f>VLOOKUP(D8,Fluids!$A$2:$B$10,2, FALSE)</f>
        <v>1141</v>
      </c>
      <c r="W8" s="12">
        <f>VLOOKUP(E8,Fluids!$C$2:$D$10,2, FALSE)</f>
        <v>820</v>
      </c>
      <c r="X8" s="13">
        <f t="shared" si="4"/>
        <v>35.51756618</v>
      </c>
      <c r="Y8" s="13">
        <f t="shared" si="5"/>
        <v>25.3696695</v>
      </c>
      <c r="Z8" s="13"/>
      <c r="AA8" s="13">
        <f t="shared" si="2"/>
        <v>0.6709962002</v>
      </c>
      <c r="AB8" s="13">
        <f t="shared" si="3"/>
        <v>0.4792826105</v>
      </c>
    </row>
    <row r="9" ht="22.5" customHeight="1">
      <c r="A9" s="5" t="s">
        <v>55</v>
      </c>
      <c r="B9" s="5"/>
      <c r="C9" s="5" t="s">
        <v>56</v>
      </c>
      <c r="D9" s="14" t="s">
        <v>33</v>
      </c>
      <c r="E9" s="14" t="s">
        <v>57</v>
      </c>
      <c r="F9" s="14" t="s">
        <v>58</v>
      </c>
      <c r="G9" s="5" t="s">
        <v>34</v>
      </c>
      <c r="H9" s="7">
        <v>2020.0</v>
      </c>
      <c r="I9" s="8" t="s">
        <v>41</v>
      </c>
      <c r="J9" s="7">
        <v>25000.0</v>
      </c>
      <c r="K9" s="7">
        <v>25000.0</v>
      </c>
      <c r="L9" s="5" t="s">
        <v>36</v>
      </c>
      <c r="M9" s="7"/>
      <c r="N9" s="7"/>
      <c r="O9" s="9">
        <v>586.0</v>
      </c>
      <c r="P9" s="9">
        <v>690.0</v>
      </c>
      <c r="Q9" s="9">
        <v>350.0</v>
      </c>
      <c r="R9" s="7">
        <v>2300.0</v>
      </c>
      <c r="S9" s="7">
        <v>480.0</v>
      </c>
      <c r="T9" s="7">
        <v>140.0</v>
      </c>
      <c r="U9" s="10">
        <f t="shared" si="1"/>
        <v>378.1526421</v>
      </c>
      <c r="V9" s="11">
        <f>VLOOKUP(D9,Fluids!$A$2:$B$10,2, FALSE)</f>
        <v>1141</v>
      </c>
      <c r="W9" s="12">
        <f>VLOOKUP(E9,Fluids!$C$2:$D$10,2, FALSE)</f>
        <v>422</v>
      </c>
      <c r="X9" s="13">
        <f t="shared" si="4"/>
        <v>24.20998906</v>
      </c>
      <c r="Y9" s="13">
        <f t="shared" si="5"/>
        <v>19.0200206</v>
      </c>
      <c r="Z9" s="13"/>
      <c r="AA9" s="13">
        <f t="shared" si="2"/>
        <v>0.4573739817</v>
      </c>
      <c r="AB9" s="13">
        <f t="shared" si="3"/>
        <v>0.3593253402</v>
      </c>
    </row>
    <row r="10" ht="22.5" customHeight="1">
      <c r="A10" s="4" t="s">
        <v>59</v>
      </c>
      <c r="B10" s="4"/>
      <c r="C10" s="5" t="s">
        <v>60</v>
      </c>
      <c r="D10" s="14" t="s">
        <v>33</v>
      </c>
      <c r="E10" s="14" t="s">
        <v>39</v>
      </c>
      <c r="F10" s="14" t="s">
        <v>61</v>
      </c>
      <c r="G10" s="5" t="s">
        <v>34</v>
      </c>
      <c r="H10" s="7">
        <v>1963.0</v>
      </c>
      <c r="I10" s="8" t="s">
        <v>45</v>
      </c>
      <c r="J10" s="7">
        <v>30250.0</v>
      </c>
      <c r="K10" s="7">
        <v>12100.0</v>
      </c>
      <c r="L10" s="5" t="s">
        <v>36</v>
      </c>
      <c r="M10" s="7"/>
      <c r="N10" s="7"/>
      <c r="O10" s="9">
        <v>55.0</v>
      </c>
      <c r="P10" s="9">
        <v>76.0</v>
      </c>
      <c r="Q10" s="9">
        <v>41.0</v>
      </c>
      <c r="R10" s="7">
        <v>99.0</v>
      </c>
      <c r="S10" s="7">
        <v>15.0</v>
      </c>
      <c r="T10" s="7">
        <v>3.0</v>
      </c>
      <c r="U10" s="10">
        <f t="shared" si="1"/>
        <v>560.6523955</v>
      </c>
      <c r="V10" s="11">
        <f>VLOOKUP(D10,Fluids!$A$2:$B$10,2, FALSE)</f>
        <v>1141</v>
      </c>
      <c r="W10" s="12">
        <f>VLOOKUP(E10,Fluids!$C$2:$D$10,2, FALSE)</f>
        <v>71</v>
      </c>
      <c r="X10" s="13">
        <f t="shared" si="4"/>
        <v>12.21563817</v>
      </c>
      <c r="Y10" s="13">
        <f t="shared" si="5"/>
        <v>42.95825561</v>
      </c>
      <c r="Z10" s="13"/>
      <c r="AA10" s="13">
        <f t="shared" si="2"/>
        <v>0.2307772654</v>
      </c>
      <c r="AB10" s="13">
        <f t="shared" si="3"/>
        <v>0.8115653571</v>
      </c>
    </row>
    <row r="11" ht="22.5" customHeight="1">
      <c r="A11" s="5" t="s">
        <v>62</v>
      </c>
      <c r="B11" s="5"/>
      <c r="C11" s="5" t="s">
        <v>63</v>
      </c>
      <c r="D11" s="14" t="s">
        <v>33</v>
      </c>
      <c r="E11" s="14" t="s">
        <v>39</v>
      </c>
      <c r="F11" s="14" t="s">
        <v>30</v>
      </c>
      <c r="G11" s="5" t="s">
        <v>64</v>
      </c>
      <c r="H11" s="7">
        <v>1979.0</v>
      </c>
      <c r="I11" s="8" t="s">
        <v>45</v>
      </c>
      <c r="J11" s="7">
        <v>35000.0</v>
      </c>
      <c r="K11" s="7">
        <v>35000.0</v>
      </c>
      <c r="L11" s="5" t="s">
        <v>36</v>
      </c>
      <c r="M11" s="7"/>
      <c r="N11" s="7"/>
      <c r="O11" s="9">
        <v>62.0</v>
      </c>
      <c r="P11" s="9">
        <v>62.0</v>
      </c>
      <c r="Q11" s="9">
        <v>35.0</v>
      </c>
      <c r="R11" s="7">
        <v>62.0</v>
      </c>
      <c r="S11" s="7">
        <v>11.0</v>
      </c>
      <c r="T11" s="7">
        <v>2.0</v>
      </c>
      <c r="U11" s="10">
        <f t="shared" si="1"/>
        <v>486.1601192</v>
      </c>
      <c r="V11" s="11">
        <f>VLOOKUP(D11,Fluids!$A$2:$B$10,2, FALSE)</f>
        <v>1141</v>
      </c>
      <c r="W11" s="12">
        <f>VLOOKUP(E11,Fluids!$C$2:$D$10,2, FALSE)</f>
        <v>71</v>
      </c>
      <c r="X11" s="13">
        <f t="shared" si="4"/>
        <v>27.65844741</v>
      </c>
      <c r="Y11" s="13">
        <f t="shared" si="5"/>
        <v>47.27810934</v>
      </c>
      <c r="Z11" s="13"/>
      <c r="AA11" s="13">
        <f t="shared" si="2"/>
        <v>0.5225220957</v>
      </c>
      <c r="AB11" s="13">
        <f t="shared" si="3"/>
        <v>0.8931758319</v>
      </c>
    </row>
    <row r="12" ht="22.5" customHeight="1">
      <c r="A12" s="4" t="s">
        <v>65</v>
      </c>
      <c r="B12" s="4" t="s">
        <v>66</v>
      </c>
      <c r="C12" s="5" t="s">
        <v>67</v>
      </c>
      <c r="D12" s="14" t="s">
        <v>68</v>
      </c>
      <c r="E12" s="14" t="s">
        <v>69</v>
      </c>
      <c r="F12" s="14" t="s">
        <v>30</v>
      </c>
      <c r="G12" s="4" t="s">
        <v>34</v>
      </c>
      <c r="H12" s="7">
        <v>1965.0</v>
      </c>
      <c r="I12" s="8" t="s">
        <v>35</v>
      </c>
      <c r="J12" s="7"/>
      <c r="K12" s="7"/>
      <c r="L12" s="5" t="s">
        <v>36</v>
      </c>
      <c r="M12" s="7"/>
      <c r="N12" s="7"/>
      <c r="O12" s="9">
        <v>141.0</v>
      </c>
      <c r="P12" s="9">
        <v>159.0</v>
      </c>
      <c r="Q12" s="9">
        <v>115.0</v>
      </c>
      <c r="R12" s="7">
        <v>250.0</v>
      </c>
      <c r="S12" s="7">
        <v>70.0</v>
      </c>
      <c r="T12" s="7">
        <v>28.0</v>
      </c>
      <c r="U12" s="10">
        <f t="shared" si="1"/>
        <v>260.0428551</v>
      </c>
      <c r="V12" s="11">
        <f>VLOOKUP(D12,Fluids!$A$2:$B$10,2, FALSE)</f>
        <v>1440</v>
      </c>
      <c r="W12" s="12">
        <f>VLOOKUP(E12,Fluids!$C$2:$D$10,2, FALSE)</f>
        <v>810</v>
      </c>
      <c r="X12" s="13">
        <f t="shared" si="4"/>
        <v>0</v>
      </c>
      <c r="Y12" s="13">
        <f t="shared" si="5"/>
        <v>0</v>
      </c>
      <c r="Z12" s="13"/>
      <c r="AA12" s="13">
        <f t="shared" si="2"/>
        <v>0</v>
      </c>
      <c r="AB12" s="13">
        <f t="shared" si="3"/>
        <v>0</v>
      </c>
    </row>
    <row r="13" ht="22.5" customHeight="1">
      <c r="A13" s="5" t="s">
        <v>70</v>
      </c>
      <c r="B13" s="5"/>
      <c r="C13" s="5" t="s">
        <v>71</v>
      </c>
      <c r="D13" s="14" t="s">
        <v>33</v>
      </c>
      <c r="E13" s="14" t="s">
        <v>29</v>
      </c>
      <c r="F13" s="14" t="s">
        <v>40</v>
      </c>
      <c r="G13" s="5" t="s">
        <v>72</v>
      </c>
      <c r="H13" s="7">
        <v>2014.0</v>
      </c>
      <c r="I13" s="8" t="s">
        <v>35</v>
      </c>
      <c r="J13" s="7">
        <v>16000.0</v>
      </c>
      <c r="K13" s="7">
        <v>16000.0</v>
      </c>
      <c r="L13" s="5" t="s">
        <v>36</v>
      </c>
      <c r="M13" s="7"/>
      <c r="N13" s="7"/>
      <c r="O13" s="9">
        <v>248.0</v>
      </c>
      <c r="P13" s="9">
        <v>248.0</v>
      </c>
      <c r="Q13" s="9">
        <v>134.0</v>
      </c>
      <c r="R13" s="7">
        <v>1340.0</v>
      </c>
      <c r="S13" s="7">
        <v>480.0</v>
      </c>
      <c r="T13" s="7">
        <v>180.0</v>
      </c>
      <c r="U13" s="10">
        <f t="shared" si="1"/>
        <v>206.9625923</v>
      </c>
      <c r="V13" s="11">
        <f>VLOOKUP(D13,Fluids!$A$2:$B$10,2, FALSE)</f>
        <v>1141</v>
      </c>
      <c r="W13" s="12">
        <f>VLOOKUP(E13,Fluids!$C$2:$D$10,2, FALSE)</f>
        <v>820</v>
      </c>
      <c r="X13" s="13">
        <f t="shared" si="4"/>
        <v>29.52969889</v>
      </c>
      <c r="Y13" s="13">
        <f t="shared" si="5"/>
        <v>21.33096722</v>
      </c>
      <c r="Z13" s="13"/>
      <c r="AA13" s="13">
        <f t="shared" si="2"/>
        <v>0.5578736912</v>
      </c>
      <c r="AB13" s="13">
        <f t="shared" si="3"/>
        <v>0.4029836358</v>
      </c>
    </row>
    <row r="14" ht="22.5" customHeight="1">
      <c r="A14" s="5" t="s">
        <v>73</v>
      </c>
      <c r="B14" s="5"/>
      <c r="C14" s="5" t="s">
        <v>74</v>
      </c>
      <c r="D14" s="14" t="s">
        <v>33</v>
      </c>
      <c r="E14" s="14" t="s">
        <v>29</v>
      </c>
      <c r="F14" s="14" t="s">
        <v>75</v>
      </c>
      <c r="G14" s="5" t="s">
        <v>76</v>
      </c>
      <c r="H14" s="7">
        <v>2016.0</v>
      </c>
      <c r="I14" s="8" t="s">
        <v>41</v>
      </c>
      <c r="J14" s="7">
        <v>40000.0</v>
      </c>
      <c r="K14" s="7">
        <v>40000.0</v>
      </c>
      <c r="L14" s="5" t="s">
        <v>36</v>
      </c>
      <c r="M14" s="7"/>
      <c r="N14" s="7"/>
      <c r="O14" s="9">
        <v>138.0</v>
      </c>
      <c r="P14" s="9">
        <v>138.0</v>
      </c>
      <c r="Q14" s="9">
        <v>100.0</v>
      </c>
      <c r="R14" s="7">
        <v>25.0</v>
      </c>
      <c r="S14" s="7">
        <v>10.0</v>
      </c>
      <c r="T14" s="7">
        <v>4.0</v>
      </c>
      <c r="U14" s="10">
        <f t="shared" si="1"/>
        <v>182.0299985</v>
      </c>
      <c r="V14" s="11">
        <f>VLOOKUP(D14,Fluids!$A$2:$B$10,2, FALSE)</f>
        <v>1141</v>
      </c>
      <c r="W14" s="12">
        <f>VLOOKUP(E14,Fluids!$C$2:$D$10,2, FALSE)</f>
        <v>820</v>
      </c>
      <c r="X14" s="13">
        <f t="shared" si="4"/>
        <v>16.53894696</v>
      </c>
      <c r="Y14" s="13">
        <f t="shared" si="5"/>
        <v>12.33882333</v>
      </c>
      <c r="Z14" s="13"/>
      <c r="AA14" s="13">
        <f t="shared" si="2"/>
        <v>0.3124530129</v>
      </c>
      <c r="AB14" s="13">
        <f t="shared" si="3"/>
        <v>0.2331044737</v>
      </c>
    </row>
    <row r="15" ht="22.5" customHeight="1">
      <c r="A15" s="16" t="s">
        <v>77</v>
      </c>
      <c r="B15" s="16"/>
      <c r="C15" s="17" t="s">
        <v>78</v>
      </c>
      <c r="D15" s="18" t="s">
        <v>68</v>
      </c>
      <c r="E15" s="18" t="s">
        <v>79</v>
      </c>
      <c r="F15" s="18" t="s">
        <v>61</v>
      </c>
      <c r="G15" s="16" t="s">
        <v>34</v>
      </c>
      <c r="H15" s="19"/>
      <c r="I15" s="20"/>
      <c r="J15" s="21">
        <v>750000.0</v>
      </c>
      <c r="K15" s="21">
        <v>750000.0</v>
      </c>
      <c r="L15" s="22"/>
      <c r="M15" s="19"/>
      <c r="N15" s="19"/>
      <c r="O15" s="21">
        <v>23.0</v>
      </c>
      <c r="P15" s="21">
        <v>23.0</v>
      </c>
      <c r="Q15" s="21">
        <v>23.0</v>
      </c>
      <c r="R15" s="21">
        <v>0.05</v>
      </c>
      <c r="S15" s="21">
        <v>0.0025</v>
      </c>
      <c r="T15" s="21">
        <v>0.0025</v>
      </c>
      <c r="U15" s="23">
        <f t="shared" si="1"/>
        <v>1019.367992</v>
      </c>
      <c r="V15" s="11">
        <f>VLOOKUP(D15,Fluids!$A$2:$B$10,2, FALSE)</f>
        <v>1440</v>
      </c>
      <c r="W15" s="11">
        <f>VLOOKUP(E15,Fluids!$C$2:$D$10,2, FALSE)</f>
        <v>800</v>
      </c>
      <c r="X15" s="24">
        <f t="shared" si="4"/>
        <v>16.73224229</v>
      </c>
      <c r="Y15" s="24">
        <f t="shared" si="5"/>
        <v>22.4486587</v>
      </c>
      <c r="Z15" s="24"/>
      <c r="AA15" s="24">
        <f t="shared" si="2"/>
        <v>0.3161047392</v>
      </c>
      <c r="AB15" s="24">
        <f t="shared" si="3"/>
        <v>0.424099011</v>
      </c>
    </row>
    <row r="16" ht="22.5" customHeight="1">
      <c r="A16" s="16" t="s">
        <v>80</v>
      </c>
      <c r="B16" s="16"/>
      <c r="C16" s="25" t="s">
        <v>81</v>
      </c>
      <c r="D16" s="18" t="s">
        <v>33</v>
      </c>
      <c r="E16" s="18" t="s">
        <v>57</v>
      </c>
      <c r="F16" s="18" t="s">
        <v>61</v>
      </c>
      <c r="G16" s="16"/>
      <c r="H16" s="19"/>
      <c r="I16" s="20"/>
      <c r="J16" s="21">
        <v>50000.0</v>
      </c>
      <c r="K16" s="21">
        <v>28000.0</v>
      </c>
      <c r="L16" s="22"/>
      <c r="M16" s="21">
        <v>13.6</v>
      </c>
      <c r="N16" s="21">
        <v>13.1</v>
      </c>
      <c r="O16" s="21">
        <v>105.0</v>
      </c>
      <c r="P16" s="21">
        <v>112.0</v>
      </c>
      <c r="Q16" s="21">
        <v>60.0</v>
      </c>
      <c r="R16" s="21">
        <v>25.0</v>
      </c>
      <c r="S16" s="21">
        <v>5.946</v>
      </c>
      <c r="T16" s="21">
        <v>1.749</v>
      </c>
      <c r="U16" s="23">
        <f t="shared" si="1"/>
        <v>331.1786848</v>
      </c>
      <c r="V16" s="11">
        <f>VLOOKUP(D16,Fluids!$A$2:$B$10,2, FALSE)</f>
        <v>1141</v>
      </c>
      <c r="W16" s="11">
        <f>VLOOKUP(E16,Fluids!$C$2:$D$10,2, FALSE)</f>
        <v>422</v>
      </c>
      <c r="X16" s="24">
        <f t="shared" si="4"/>
        <v>10.9581108</v>
      </c>
      <c r="Y16" s="24">
        <f t="shared" si="5"/>
        <v>16.62628293</v>
      </c>
      <c r="Z16" s="24"/>
      <c r="AA16" s="24">
        <f t="shared" si="2"/>
        <v>0.207020117</v>
      </c>
      <c r="AB16" s="24">
        <f t="shared" si="3"/>
        <v>0.31410296</v>
      </c>
    </row>
    <row r="17" ht="22.5" customHeight="1">
      <c r="A17" s="16" t="s">
        <v>82</v>
      </c>
      <c r="B17" s="16"/>
      <c r="C17" s="26" t="s">
        <v>83</v>
      </c>
      <c r="D17" s="18" t="s">
        <v>84</v>
      </c>
      <c r="E17" s="27"/>
      <c r="F17" s="18"/>
      <c r="G17" s="16"/>
      <c r="H17" s="19"/>
      <c r="I17" s="20"/>
      <c r="J17" s="21"/>
      <c r="K17" s="21">
        <v>40000.0</v>
      </c>
      <c r="L17" s="22"/>
      <c r="M17" s="21"/>
      <c r="N17" s="21"/>
      <c r="O17" s="21">
        <v>63.0</v>
      </c>
      <c r="P17" s="21"/>
      <c r="Q17" s="21"/>
      <c r="R17" s="21"/>
      <c r="S17" s="21">
        <v>0.8</v>
      </c>
      <c r="T17" s="21"/>
      <c r="U17" s="23">
        <f t="shared" si="1"/>
        <v>0</v>
      </c>
      <c r="V17" s="11">
        <f>VLOOKUP(D17,Fluids!$A$2:$B$10,2, FALSE)</f>
        <v>1000</v>
      </c>
      <c r="W17" s="11" t="str">
        <f>VLOOKUP(E17,Fluids!$C$2:$D$10,2, FALSE)</f>
        <v>#N/A</v>
      </c>
      <c r="X17" s="24">
        <f t="shared" si="4"/>
        <v>8.997038372</v>
      </c>
      <c r="Y17" s="24" t="str">
        <f t="shared" si="5"/>
        <v>#N/A</v>
      </c>
      <c r="Z17" s="24"/>
      <c r="AA17" s="24">
        <f t="shared" si="2"/>
        <v>0.1699716284</v>
      </c>
      <c r="AB17" s="24" t="str">
        <f t="shared" si="3"/>
        <v>#N/A</v>
      </c>
    </row>
    <row r="18" ht="22.5" customHeight="1">
      <c r="A18" s="16" t="s">
        <v>85</v>
      </c>
      <c r="B18" s="16"/>
      <c r="C18" s="22"/>
      <c r="D18" s="28"/>
      <c r="E18" s="28"/>
      <c r="F18" s="29"/>
      <c r="G18" s="22"/>
      <c r="H18" s="19"/>
      <c r="I18" s="20"/>
      <c r="J18" s="21">
        <v>800000.0</v>
      </c>
      <c r="K18" s="21">
        <v>800000.0</v>
      </c>
      <c r="L18" s="22"/>
      <c r="M18" s="19"/>
      <c r="N18" s="19"/>
      <c r="O18" s="21"/>
      <c r="P18" s="21"/>
      <c r="Q18" s="21"/>
      <c r="R18" s="19"/>
      <c r="S18" s="19"/>
      <c r="T18" s="19"/>
      <c r="U18" s="30" t="str">
        <f t="shared" si="1"/>
        <v>#DIV/0!</v>
      </c>
      <c r="V18" s="11" t="str">
        <f>VLOOKUP(D18,Fluids!$A$2:$B$10,2, FALSE)</f>
        <v>#N/A</v>
      </c>
      <c r="W18" s="11" t="str">
        <f>VLOOKUP(E18,Fluids!$C$2:$D$10,2, FALSE)</f>
        <v>#N/A</v>
      </c>
      <c r="X18" s="24" t="str">
        <f t="shared" si="4"/>
        <v>#N/A</v>
      </c>
      <c r="Y18" s="24" t="str">
        <f t="shared" si="5"/>
        <v>#N/A</v>
      </c>
      <c r="Z18" s="24"/>
      <c r="AA18" s="24" t="str">
        <f t="shared" si="2"/>
        <v>#N/A</v>
      </c>
      <c r="AB18" s="24" t="str">
        <f t="shared" si="3"/>
        <v>#N/A</v>
      </c>
    </row>
    <row r="19" ht="22.5" customHeight="1">
      <c r="A19" s="16" t="s">
        <v>86</v>
      </c>
      <c r="B19" s="16"/>
      <c r="C19" s="22"/>
      <c r="D19" s="28"/>
      <c r="E19" s="28"/>
      <c r="F19" s="29"/>
      <c r="G19" s="22"/>
      <c r="H19" s="19"/>
      <c r="I19" s="20"/>
      <c r="J19" s="19"/>
      <c r="K19" s="19"/>
      <c r="L19" s="22"/>
      <c r="M19" s="19"/>
      <c r="N19" s="19"/>
      <c r="O19" s="21"/>
      <c r="P19" s="21"/>
      <c r="Q19" s="21"/>
      <c r="R19" s="19"/>
      <c r="S19" s="19"/>
      <c r="T19" s="19"/>
      <c r="U19" s="30" t="str">
        <f t="shared" si="1"/>
        <v>#DIV/0!</v>
      </c>
      <c r="V19" s="11" t="str">
        <f>VLOOKUP(D19,Fluids!$A$2:$B$10,2, FALSE)</f>
        <v>#N/A</v>
      </c>
      <c r="W19" s="11" t="str">
        <f>VLOOKUP(E19,Fluids!$C$2:$D$10,2, FALSE)</f>
        <v>#N/A</v>
      </c>
      <c r="X19" s="24" t="str">
        <f t="shared" si="4"/>
        <v>#N/A</v>
      </c>
      <c r="Y19" s="24" t="str">
        <f t="shared" si="5"/>
        <v>#N/A</v>
      </c>
      <c r="Z19" s="24"/>
      <c r="AA19" s="24" t="str">
        <f t="shared" si="2"/>
        <v>#N/A</v>
      </c>
      <c r="AB19" s="24" t="str">
        <f t="shared" si="3"/>
        <v>#N/A</v>
      </c>
    </row>
    <row r="20" ht="22.5" customHeight="1">
      <c r="A20" s="16" t="s">
        <v>87</v>
      </c>
      <c r="B20" s="16"/>
      <c r="C20" s="22"/>
      <c r="D20" s="28"/>
      <c r="E20" s="28"/>
      <c r="F20" s="29"/>
      <c r="G20" s="22"/>
      <c r="H20" s="19"/>
      <c r="I20" s="20"/>
      <c r="J20" s="19"/>
      <c r="K20" s="19"/>
      <c r="L20" s="22"/>
      <c r="M20" s="19"/>
      <c r="N20" s="19"/>
      <c r="O20" s="21"/>
      <c r="P20" s="21"/>
      <c r="Q20" s="21"/>
      <c r="R20" s="19"/>
      <c r="S20" s="19"/>
      <c r="T20" s="19"/>
      <c r="U20" s="30" t="str">
        <f t="shared" si="1"/>
        <v>#DIV/0!</v>
      </c>
      <c r="V20" s="11" t="str">
        <f>VLOOKUP(D20,Fluids!$A$2:$B$10,2, FALSE)</f>
        <v>#N/A</v>
      </c>
      <c r="W20" s="11" t="str">
        <f>VLOOKUP(E20,Fluids!$C$2:$D$10,2, FALSE)</f>
        <v>#N/A</v>
      </c>
      <c r="X20" s="24" t="str">
        <f t="shared" si="4"/>
        <v>#N/A</v>
      </c>
      <c r="Y20" s="24" t="str">
        <f t="shared" si="5"/>
        <v>#N/A</v>
      </c>
      <c r="Z20" s="24"/>
      <c r="AA20" s="24" t="str">
        <f t="shared" si="2"/>
        <v>#N/A</v>
      </c>
      <c r="AB20" s="24" t="str">
        <f t="shared" si="3"/>
        <v>#N/A</v>
      </c>
    </row>
    <row r="21" ht="22.5" customHeight="1">
      <c r="A21" s="16" t="s">
        <v>88</v>
      </c>
      <c r="B21" s="16"/>
      <c r="C21" s="22"/>
      <c r="D21" s="28"/>
      <c r="E21" s="28"/>
      <c r="F21" s="29"/>
      <c r="G21" s="22"/>
      <c r="H21" s="19"/>
      <c r="I21" s="20"/>
      <c r="J21" s="19"/>
      <c r="K21" s="19"/>
      <c r="L21" s="22"/>
      <c r="M21" s="19"/>
      <c r="N21" s="19"/>
      <c r="O21" s="21"/>
      <c r="P21" s="21"/>
      <c r="Q21" s="21"/>
      <c r="R21" s="19"/>
      <c r="S21" s="19"/>
      <c r="T21" s="19"/>
      <c r="U21" s="30" t="str">
        <f t="shared" si="1"/>
        <v>#DIV/0!</v>
      </c>
      <c r="V21" s="11" t="str">
        <f>VLOOKUP(D21,Fluids!$A$2:$B$10,2, FALSE)</f>
        <v>#N/A</v>
      </c>
      <c r="W21" s="11" t="str">
        <f>VLOOKUP(E21,Fluids!$C$2:$D$10,2, FALSE)</f>
        <v>#N/A</v>
      </c>
      <c r="X21" s="24" t="str">
        <f t="shared" si="4"/>
        <v>#N/A</v>
      </c>
      <c r="Y21" s="24" t="str">
        <f t="shared" si="5"/>
        <v>#N/A</v>
      </c>
      <c r="Z21" s="24"/>
      <c r="AA21" s="24" t="str">
        <f t="shared" si="2"/>
        <v>#N/A</v>
      </c>
      <c r="AB21" s="24" t="str">
        <f t="shared" si="3"/>
        <v>#N/A</v>
      </c>
    </row>
    <row r="22" ht="22.5" customHeight="1">
      <c r="A22" s="16" t="s">
        <v>89</v>
      </c>
      <c r="B22" s="16"/>
      <c r="C22" s="22"/>
      <c r="D22" s="28"/>
      <c r="E22" s="28"/>
      <c r="F22" s="29"/>
      <c r="G22" s="22"/>
      <c r="H22" s="19"/>
      <c r="I22" s="20"/>
      <c r="J22" s="19"/>
      <c r="K22" s="19"/>
      <c r="L22" s="22"/>
      <c r="M22" s="19"/>
      <c r="N22" s="19"/>
      <c r="O22" s="21"/>
      <c r="P22" s="21"/>
      <c r="Q22" s="21"/>
      <c r="R22" s="19"/>
      <c r="S22" s="19"/>
      <c r="T22" s="19"/>
      <c r="U22" s="30" t="str">
        <f t="shared" si="1"/>
        <v>#DIV/0!</v>
      </c>
      <c r="V22" s="11" t="str">
        <f>VLOOKUP(D22,Fluids!$A$2:$B$10,2, FALSE)</f>
        <v>#N/A</v>
      </c>
      <c r="W22" s="11" t="str">
        <f>VLOOKUP(E22,Fluids!$C$2:$D$10,2, FALSE)</f>
        <v>#N/A</v>
      </c>
      <c r="X22" s="24" t="str">
        <f t="shared" si="4"/>
        <v>#N/A</v>
      </c>
      <c r="Y22" s="24" t="str">
        <f t="shared" si="5"/>
        <v>#N/A</v>
      </c>
      <c r="Z22" s="24"/>
      <c r="AA22" s="24" t="str">
        <f t="shared" si="2"/>
        <v>#N/A</v>
      </c>
      <c r="AB22" s="24" t="str">
        <f t="shared" si="3"/>
        <v>#N/A</v>
      </c>
    </row>
    <row r="23" ht="22.5" customHeight="1">
      <c r="A23" s="16" t="s">
        <v>90</v>
      </c>
      <c r="B23" s="16"/>
      <c r="C23" s="22"/>
      <c r="D23" s="28"/>
      <c r="E23" s="18" t="s">
        <v>29</v>
      </c>
      <c r="F23" s="29"/>
      <c r="G23" s="22"/>
      <c r="H23" s="19"/>
      <c r="I23" s="20"/>
      <c r="J23" s="21">
        <v>40000.0</v>
      </c>
      <c r="K23" s="19"/>
      <c r="L23" s="22"/>
      <c r="M23" s="19"/>
      <c r="N23" s="19"/>
      <c r="O23" s="21"/>
      <c r="P23" s="21">
        <v>40.0</v>
      </c>
      <c r="Q23" s="21"/>
      <c r="R23" s="21">
        <v>25.0</v>
      </c>
      <c r="S23" s="19"/>
      <c r="T23" s="21">
        <v>2.5</v>
      </c>
      <c r="U23" s="30">
        <f t="shared" si="1"/>
        <v>1019.367992</v>
      </c>
      <c r="V23" s="11" t="str">
        <f>VLOOKUP(D23,Fluids!$A$2:$B$10,2, FALSE)</f>
        <v>#N/A</v>
      </c>
      <c r="W23" s="11">
        <f>VLOOKUP(E23,Fluids!$C$2:$D$10,2, FALSE)</f>
        <v>820</v>
      </c>
      <c r="X23" s="24" t="str">
        <f t="shared" si="4"/>
        <v>#N/A</v>
      </c>
      <c r="Y23" s="24">
        <f t="shared" si="5"/>
        <v>24.69323992</v>
      </c>
      <c r="Z23" s="24"/>
      <c r="AA23" s="24" t="str">
        <f t="shared" si="2"/>
        <v>#N/A</v>
      </c>
      <c r="AB23" s="24">
        <f t="shared" si="3"/>
        <v>0.4665035343</v>
      </c>
    </row>
    <row r="24">
      <c r="F24" s="31"/>
      <c r="U24" s="32"/>
    </row>
    <row r="25">
      <c r="F25" s="31"/>
      <c r="U25" s="32"/>
    </row>
    <row r="26">
      <c r="F26" s="31"/>
      <c r="U26" s="32"/>
    </row>
    <row r="27">
      <c r="F27" s="31"/>
      <c r="U27" s="32"/>
    </row>
    <row r="28">
      <c r="F28" s="31"/>
      <c r="U28" s="32"/>
    </row>
    <row r="29">
      <c r="F29" s="31"/>
      <c r="U29" s="32"/>
    </row>
    <row r="30">
      <c r="F30" s="31"/>
      <c r="U30" s="32"/>
    </row>
    <row r="31">
      <c r="F31" s="31"/>
      <c r="U31" s="32"/>
    </row>
    <row r="32">
      <c r="F32" s="31"/>
      <c r="U32" s="32"/>
    </row>
    <row r="33">
      <c r="F33" s="31"/>
      <c r="U33" s="32"/>
    </row>
    <row r="34">
      <c r="F34" s="31"/>
      <c r="U34" s="32"/>
    </row>
    <row r="35">
      <c r="F35" s="31"/>
      <c r="U35" s="32"/>
    </row>
    <row r="36">
      <c r="F36" s="31"/>
      <c r="U36" s="32"/>
    </row>
    <row r="37">
      <c r="F37" s="31"/>
      <c r="U37" s="32"/>
    </row>
    <row r="38">
      <c r="F38" s="31"/>
      <c r="U38" s="32"/>
    </row>
    <row r="39">
      <c r="F39" s="31"/>
      <c r="U39" s="32"/>
    </row>
    <row r="40">
      <c r="F40" s="31"/>
      <c r="U40" s="32"/>
    </row>
    <row r="41">
      <c r="F41" s="31"/>
      <c r="U41" s="32"/>
    </row>
    <row r="42">
      <c r="F42" s="31"/>
      <c r="U42" s="32"/>
    </row>
    <row r="43">
      <c r="F43" s="31"/>
      <c r="U43" s="32"/>
    </row>
    <row r="44">
      <c r="F44" s="31"/>
      <c r="U44" s="32"/>
    </row>
    <row r="45">
      <c r="F45" s="31"/>
      <c r="U45" s="32"/>
    </row>
    <row r="46">
      <c r="F46" s="31"/>
      <c r="U46" s="32"/>
    </row>
    <row r="47">
      <c r="F47" s="31"/>
      <c r="U47" s="32"/>
    </row>
    <row r="48">
      <c r="F48" s="31"/>
      <c r="U48" s="32"/>
    </row>
    <row r="49">
      <c r="F49" s="31"/>
      <c r="U49" s="32"/>
    </row>
    <row r="50">
      <c r="F50" s="31"/>
      <c r="U50" s="32"/>
    </row>
    <row r="51">
      <c r="F51" s="31"/>
      <c r="U51" s="32"/>
    </row>
    <row r="52">
      <c r="F52" s="31"/>
      <c r="U52" s="32"/>
    </row>
    <row r="53">
      <c r="F53" s="31"/>
      <c r="U53" s="32"/>
    </row>
    <row r="54">
      <c r="F54" s="31"/>
      <c r="U54" s="32"/>
    </row>
    <row r="55">
      <c r="F55" s="31"/>
      <c r="U55" s="32"/>
    </row>
    <row r="56">
      <c r="F56" s="31"/>
      <c r="U56" s="32"/>
    </row>
    <row r="57">
      <c r="F57" s="31"/>
      <c r="U57" s="32"/>
    </row>
    <row r="58">
      <c r="F58" s="31"/>
      <c r="U58" s="32"/>
    </row>
    <row r="59">
      <c r="F59" s="31"/>
      <c r="U59" s="32"/>
    </row>
    <row r="60">
      <c r="F60" s="31"/>
      <c r="U60" s="32"/>
    </row>
    <row r="61">
      <c r="F61" s="31"/>
      <c r="U61" s="32"/>
    </row>
    <row r="62">
      <c r="F62" s="31"/>
      <c r="U62" s="32"/>
    </row>
    <row r="63">
      <c r="F63" s="31"/>
      <c r="U63" s="32"/>
    </row>
    <row r="64">
      <c r="F64" s="31"/>
      <c r="U64" s="32"/>
    </row>
    <row r="65">
      <c r="F65" s="31"/>
      <c r="U65" s="32"/>
    </row>
    <row r="66">
      <c r="F66" s="31"/>
      <c r="U66" s="32"/>
    </row>
    <row r="67">
      <c r="F67" s="31"/>
      <c r="U67" s="32"/>
    </row>
    <row r="68">
      <c r="F68" s="31"/>
      <c r="U68" s="32"/>
    </row>
    <row r="69">
      <c r="F69" s="31"/>
      <c r="U69" s="32"/>
    </row>
    <row r="70">
      <c r="F70" s="31"/>
      <c r="U70" s="32"/>
    </row>
    <row r="71">
      <c r="F71" s="31"/>
      <c r="U71" s="32"/>
    </row>
    <row r="72">
      <c r="F72" s="31"/>
      <c r="U72" s="32"/>
    </row>
    <row r="73">
      <c r="F73" s="31"/>
      <c r="U73" s="32"/>
    </row>
    <row r="74">
      <c r="F74" s="31"/>
      <c r="U74" s="32"/>
    </row>
    <row r="75">
      <c r="F75" s="31"/>
      <c r="U75" s="32"/>
    </row>
    <row r="76">
      <c r="F76" s="31"/>
      <c r="U76" s="32"/>
    </row>
    <row r="77">
      <c r="F77" s="31"/>
      <c r="U77" s="32"/>
    </row>
    <row r="78">
      <c r="F78" s="31"/>
      <c r="U78" s="32"/>
    </row>
    <row r="79">
      <c r="F79" s="31"/>
      <c r="U79" s="32"/>
    </row>
    <row r="80">
      <c r="F80" s="31"/>
      <c r="U80" s="32"/>
    </row>
    <row r="81">
      <c r="F81" s="31"/>
      <c r="U81" s="32"/>
    </row>
    <row r="82">
      <c r="F82" s="31"/>
      <c r="U82" s="32"/>
    </row>
    <row r="83">
      <c r="F83" s="31"/>
      <c r="U83" s="32"/>
    </row>
    <row r="84">
      <c r="F84" s="31"/>
      <c r="U84" s="32"/>
    </row>
    <row r="85">
      <c r="F85" s="31"/>
      <c r="U85" s="32"/>
    </row>
    <row r="86">
      <c r="F86" s="31"/>
      <c r="U86" s="32"/>
    </row>
    <row r="87">
      <c r="F87" s="31"/>
      <c r="U87" s="32"/>
    </row>
    <row r="88">
      <c r="F88" s="31"/>
      <c r="U88" s="32"/>
    </row>
    <row r="89">
      <c r="F89" s="31"/>
      <c r="U89" s="32"/>
    </row>
    <row r="90">
      <c r="F90" s="31"/>
      <c r="U90" s="32"/>
    </row>
    <row r="91">
      <c r="F91" s="31"/>
      <c r="U91" s="32"/>
    </row>
    <row r="92">
      <c r="F92" s="31"/>
      <c r="U92" s="32"/>
    </row>
    <row r="93">
      <c r="F93" s="31"/>
      <c r="U93" s="32"/>
    </row>
    <row r="94">
      <c r="F94" s="31"/>
      <c r="U94" s="32"/>
    </row>
    <row r="95">
      <c r="F95" s="31"/>
      <c r="U95" s="32"/>
    </row>
    <row r="96">
      <c r="F96" s="31"/>
      <c r="U96" s="32"/>
    </row>
    <row r="97">
      <c r="F97" s="31"/>
      <c r="U97" s="32"/>
    </row>
    <row r="98">
      <c r="F98" s="31"/>
      <c r="U98" s="32"/>
    </row>
    <row r="99">
      <c r="F99" s="31"/>
      <c r="U99" s="32"/>
    </row>
    <row r="100">
      <c r="F100" s="31"/>
      <c r="U100" s="32"/>
    </row>
    <row r="101">
      <c r="F101" s="31"/>
      <c r="U101" s="32"/>
    </row>
    <row r="102">
      <c r="F102" s="31"/>
      <c r="U102" s="32"/>
    </row>
    <row r="103">
      <c r="F103" s="31"/>
      <c r="U103" s="32"/>
    </row>
    <row r="104">
      <c r="F104" s="31"/>
      <c r="U104" s="32"/>
    </row>
    <row r="105">
      <c r="F105" s="31"/>
      <c r="U105" s="32"/>
    </row>
    <row r="106">
      <c r="F106" s="31"/>
      <c r="U106" s="32"/>
    </row>
    <row r="107">
      <c r="F107" s="31"/>
      <c r="U107" s="32"/>
    </row>
    <row r="108">
      <c r="F108" s="31"/>
      <c r="U108" s="32"/>
    </row>
    <row r="109">
      <c r="F109" s="31"/>
      <c r="U109" s="32"/>
    </row>
    <row r="110">
      <c r="F110" s="31"/>
      <c r="U110" s="32"/>
    </row>
    <row r="111">
      <c r="F111" s="31"/>
      <c r="U111" s="32"/>
    </row>
    <row r="112">
      <c r="F112" s="31"/>
      <c r="U112" s="32"/>
    </row>
    <row r="113">
      <c r="F113" s="31"/>
      <c r="U113" s="32"/>
    </row>
    <row r="114">
      <c r="F114" s="31"/>
      <c r="U114" s="32"/>
    </row>
    <row r="115">
      <c r="F115" s="31"/>
      <c r="U115" s="32"/>
    </row>
    <row r="116">
      <c r="F116" s="31"/>
      <c r="U116" s="32"/>
    </row>
    <row r="117">
      <c r="F117" s="31"/>
      <c r="U117" s="32"/>
    </row>
    <row r="118">
      <c r="F118" s="31"/>
      <c r="U118" s="32"/>
    </row>
    <row r="119">
      <c r="F119" s="31"/>
      <c r="U119" s="32"/>
    </row>
    <row r="120">
      <c r="F120" s="31"/>
      <c r="U120" s="32"/>
    </row>
    <row r="121">
      <c r="F121" s="31"/>
      <c r="U121" s="32"/>
    </row>
    <row r="122">
      <c r="F122" s="31"/>
      <c r="U122" s="32"/>
    </row>
    <row r="123">
      <c r="F123" s="31"/>
      <c r="U123" s="32"/>
    </row>
    <row r="124">
      <c r="F124" s="31"/>
      <c r="U124" s="32"/>
    </row>
    <row r="125">
      <c r="F125" s="31"/>
      <c r="U125" s="32"/>
    </row>
    <row r="126">
      <c r="F126" s="31"/>
      <c r="U126" s="32"/>
    </row>
    <row r="127">
      <c r="F127" s="31"/>
      <c r="U127" s="32"/>
    </row>
    <row r="128">
      <c r="F128" s="31"/>
      <c r="U128" s="32"/>
    </row>
    <row r="129">
      <c r="F129" s="31"/>
      <c r="U129" s="32"/>
    </row>
    <row r="130">
      <c r="F130" s="31"/>
      <c r="U130" s="32"/>
    </row>
    <row r="131">
      <c r="F131" s="31"/>
      <c r="U131" s="32"/>
    </row>
    <row r="132">
      <c r="F132" s="31"/>
      <c r="U132" s="32"/>
    </row>
    <row r="133">
      <c r="F133" s="31"/>
      <c r="U133" s="32"/>
    </row>
    <row r="134">
      <c r="F134" s="31"/>
      <c r="U134" s="32"/>
    </row>
    <row r="135">
      <c r="F135" s="31"/>
      <c r="U135" s="32"/>
    </row>
    <row r="136">
      <c r="F136" s="31"/>
      <c r="U136" s="32"/>
    </row>
    <row r="137">
      <c r="F137" s="31"/>
      <c r="U137" s="32"/>
    </row>
    <row r="138">
      <c r="F138" s="31"/>
      <c r="U138" s="32"/>
    </row>
    <row r="139">
      <c r="F139" s="31"/>
      <c r="U139" s="32"/>
    </row>
    <row r="140">
      <c r="F140" s="31"/>
      <c r="U140" s="32"/>
    </row>
    <row r="141">
      <c r="F141" s="31"/>
      <c r="U141" s="32"/>
    </row>
    <row r="142">
      <c r="F142" s="31"/>
      <c r="U142" s="32"/>
    </row>
    <row r="143">
      <c r="F143" s="31"/>
      <c r="U143" s="32"/>
    </row>
    <row r="144">
      <c r="F144" s="31"/>
      <c r="U144" s="32"/>
    </row>
    <row r="145">
      <c r="F145" s="31"/>
      <c r="U145" s="32"/>
    </row>
    <row r="146">
      <c r="F146" s="31"/>
      <c r="U146" s="32"/>
    </row>
    <row r="147">
      <c r="F147" s="31"/>
      <c r="U147" s="32"/>
    </row>
    <row r="148">
      <c r="F148" s="31"/>
      <c r="U148" s="32"/>
    </row>
    <row r="149">
      <c r="F149" s="31"/>
      <c r="U149" s="32"/>
    </row>
    <row r="150">
      <c r="F150" s="31"/>
      <c r="U150" s="32"/>
    </row>
    <row r="151">
      <c r="F151" s="31"/>
      <c r="U151" s="32"/>
    </row>
    <row r="152">
      <c r="F152" s="31"/>
      <c r="U152" s="32"/>
    </row>
    <row r="153">
      <c r="F153" s="31"/>
      <c r="U153" s="32"/>
    </row>
    <row r="154">
      <c r="F154" s="31"/>
      <c r="U154" s="32"/>
    </row>
    <row r="155">
      <c r="F155" s="31"/>
      <c r="U155" s="32"/>
    </row>
    <row r="156">
      <c r="F156" s="31"/>
      <c r="U156" s="32"/>
    </row>
    <row r="157">
      <c r="F157" s="31"/>
      <c r="U157" s="32"/>
    </row>
    <row r="158">
      <c r="F158" s="31"/>
      <c r="U158" s="32"/>
    </row>
    <row r="159">
      <c r="F159" s="31"/>
      <c r="U159" s="32"/>
    </row>
    <row r="160">
      <c r="F160" s="31"/>
      <c r="U160" s="32"/>
    </row>
    <row r="161">
      <c r="F161" s="31"/>
      <c r="U161" s="32"/>
    </row>
    <row r="162">
      <c r="F162" s="31"/>
      <c r="U162" s="32"/>
    </row>
    <row r="163">
      <c r="F163" s="31"/>
      <c r="U163" s="32"/>
    </row>
    <row r="164">
      <c r="F164" s="31"/>
      <c r="U164" s="32"/>
    </row>
    <row r="165">
      <c r="F165" s="31"/>
      <c r="U165" s="32"/>
    </row>
    <row r="166">
      <c r="F166" s="31"/>
      <c r="U166" s="32"/>
    </row>
    <row r="167">
      <c r="F167" s="31"/>
      <c r="U167" s="32"/>
    </row>
    <row r="168">
      <c r="F168" s="31"/>
      <c r="U168" s="32"/>
    </row>
    <row r="169">
      <c r="F169" s="31"/>
      <c r="U169" s="32"/>
    </row>
    <row r="170">
      <c r="F170" s="31"/>
      <c r="U170" s="32"/>
    </row>
    <row r="171">
      <c r="F171" s="31"/>
      <c r="U171" s="32"/>
    </row>
    <row r="172">
      <c r="F172" s="31"/>
      <c r="U172" s="32"/>
    </row>
    <row r="173">
      <c r="F173" s="31"/>
      <c r="U173" s="32"/>
    </row>
    <row r="174">
      <c r="F174" s="31"/>
      <c r="U174" s="32"/>
    </row>
    <row r="175">
      <c r="F175" s="31"/>
      <c r="U175" s="32"/>
    </row>
    <row r="176">
      <c r="F176" s="31"/>
      <c r="U176" s="32"/>
    </row>
    <row r="177">
      <c r="F177" s="31"/>
      <c r="U177" s="32"/>
    </row>
    <row r="178">
      <c r="F178" s="31"/>
      <c r="U178" s="32"/>
    </row>
    <row r="179">
      <c r="F179" s="31"/>
      <c r="U179" s="32"/>
    </row>
    <row r="180">
      <c r="F180" s="31"/>
      <c r="U180" s="32"/>
    </row>
    <row r="181">
      <c r="F181" s="31"/>
      <c r="U181" s="32"/>
    </row>
    <row r="182">
      <c r="F182" s="31"/>
      <c r="U182" s="32"/>
    </row>
    <row r="183">
      <c r="F183" s="31"/>
      <c r="U183" s="32"/>
    </row>
    <row r="184">
      <c r="F184" s="31"/>
      <c r="U184" s="32"/>
    </row>
    <row r="185">
      <c r="F185" s="31"/>
      <c r="U185" s="32"/>
    </row>
    <row r="186">
      <c r="F186" s="31"/>
      <c r="U186" s="32"/>
    </row>
    <row r="187">
      <c r="F187" s="31"/>
      <c r="U187" s="32"/>
    </row>
    <row r="188">
      <c r="F188" s="31"/>
      <c r="U188" s="32"/>
    </row>
    <row r="189">
      <c r="F189" s="31"/>
      <c r="U189" s="32"/>
    </row>
    <row r="190">
      <c r="F190" s="31"/>
      <c r="U190" s="32"/>
    </row>
    <row r="191">
      <c r="F191" s="31"/>
      <c r="U191" s="32"/>
    </row>
    <row r="192">
      <c r="F192" s="31"/>
      <c r="U192" s="32"/>
    </row>
    <row r="193">
      <c r="F193" s="31"/>
      <c r="U193" s="32"/>
    </row>
    <row r="194">
      <c r="F194" s="31"/>
      <c r="U194" s="32"/>
    </row>
    <row r="195">
      <c r="F195" s="31"/>
      <c r="U195" s="32"/>
    </row>
    <row r="196">
      <c r="F196" s="31"/>
      <c r="U196" s="32"/>
    </row>
    <row r="197">
      <c r="F197" s="31"/>
      <c r="U197" s="32"/>
    </row>
    <row r="198">
      <c r="F198" s="31"/>
      <c r="U198" s="32"/>
    </row>
    <row r="199">
      <c r="F199" s="31"/>
      <c r="U199" s="32"/>
    </row>
    <row r="200">
      <c r="F200" s="31"/>
      <c r="U200" s="32"/>
    </row>
    <row r="201">
      <c r="F201" s="31"/>
      <c r="U201" s="32"/>
    </row>
    <row r="202">
      <c r="F202" s="31"/>
      <c r="U202" s="32"/>
    </row>
    <row r="203">
      <c r="F203" s="31"/>
      <c r="U203" s="32"/>
    </row>
    <row r="204">
      <c r="F204" s="31"/>
      <c r="U204" s="32"/>
    </row>
    <row r="205">
      <c r="F205" s="31"/>
      <c r="U205" s="32"/>
    </row>
    <row r="206">
      <c r="F206" s="31"/>
      <c r="U206" s="32"/>
    </row>
    <row r="207">
      <c r="F207" s="31"/>
      <c r="U207" s="32"/>
    </row>
    <row r="208">
      <c r="F208" s="31"/>
      <c r="U208" s="32"/>
    </row>
    <row r="209">
      <c r="F209" s="31"/>
      <c r="U209" s="32"/>
    </row>
    <row r="210">
      <c r="F210" s="31"/>
      <c r="U210" s="32"/>
    </row>
    <row r="211">
      <c r="F211" s="31"/>
      <c r="U211" s="32"/>
    </row>
    <row r="212">
      <c r="F212" s="31"/>
      <c r="U212" s="32"/>
    </row>
    <row r="213">
      <c r="F213" s="31"/>
      <c r="U213" s="32"/>
    </row>
    <row r="214">
      <c r="F214" s="31"/>
      <c r="U214" s="32"/>
    </row>
    <row r="215">
      <c r="F215" s="31"/>
      <c r="U215" s="32"/>
    </row>
    <row r="216">
      <c r="F216" s="31"/>
      <c r="U216" s="32"/>
    </row>
    <row r="217">
      <c r="F217" s="31"/>
      <c r="U217" s="32"/>
    </row>
    <row r="218">
      <c r="F218" s="31"/>
      <c r="U218" s="32"/>
    </row>
    <row r="219">
      <c r="F219" s="31"/>
      <c r="U219" s="32"/>
    </row>
    <row r="220">
      <c r="F220" s="31"/>
      <c r="U220" s="32"/>
    </row>
    <row r="221">
      <c r="F221" s="31"/>
      <c r="U221" s="32"/>
    </row>
    <row r="222">
      <c r="F222" s="31"/>
      <c r="U222" s="32"/>
    </row>
    <row r="223">
      <c r="F223" s="31"/>
      <c r="U223" s="32"/>
    </row>
    <row r="224">
      <c r="F224" s="31"/>
      <c r="U224" s="32"/>
    </row>
    <row r="225">
      <c r="F225" s="31"/>
      <c r="U225" s="32"/>
    </row>
    <row r="226">
      <c r="F226" s="31"/>
      <c r="U226" s="32"/>
    </row>
    <row r="227">
      <c r="F227" s="31"/>
      <c r="U227" s="32"/>
    </row>
    <row r="228">
      <c r="F228" s="31"/>
      <c r="U228" s="32"/>
    </row>
    <row r="229">
      <c r="F229" s="31"/>
      <c r="U229" s="32"/>
    </row>
    <row r="230">
      <c r="F230" s="31"/>
      <c r="U230" s="32"/>
    </row>
    <row r="231">
      <c r="F231" s="31"/>
      <c r="U231" s="32"/>
    </row>
    <row r="232">
      <c r="F232" s="31"/>
      <c r="U232" s="32"/>
    </row>
    <row r="233">
      <c r="F233" s="31"/>
      <c r="U233" s="32"/>
    </row>
    <row r="234">
      <c r="F234" s="31"/>
      <c r="U234" s="32"/>
    </row>
    <row r="235">
      <c r="F235" s="31"/>
      <c r="U235" s="32"/>
    </row>
    <row r="236">
      <c r="F236" s="31"/>
      <c r="U236" s="32"/>
    </row>
    <row r="237">
      <c r="F237" s="31"/>
      <c r="U237" s="32"/>
    </row>
    <row r="238">
      <c r="F238" s="31"/>
      <c r="U238" s="32"/>
    </row>
    <row r="239">
      <c r="F239" s="31"/>
      <c r="U239" s="32"/>
    </row>
    <row r="240">
      <c r="F240" s="31"/>
      <c r="U240" s="32"/>
    </row>
    <row r="241">
      <c r="F241" s="31"/>
      <c r="U241" s="32"/>
    </row>
    <row r="242">
      <c r="F242" s="31"/>
      <c r="U242" s="32"/>
    </row>
    <row r="243">
      <c r="F243" s="31"/>
      <c r="U243" s="32"/>
    </row>
    <row r="244">
      <c r="F244" s="31"/>
      <c r="U244" s="32"/>
    </row>
    <row r="245">
      <c r="F245" s="31"/>
      <c r="U245" s="32"/>
    </row>
    <row r="246">
      <c r="F246" s="31"/>
      <c r="U246" s="32"/>
    </row>
    <row r="247">
      <c r="F247" s="31"/>
      <c r="U247" s="32"/>
    </row>
    <row r="248">
      <c r="F248" s="31"/>
      <c r="U248" s="32"/>
    </row>
    <row r="249">
      <c r="F249" s="31"/>
      <c r="U249" s="32"/>
    </row>
    <row r="250">
      <c r="F250" s="31"/>
      <c r="U250" s="32"/>
    </row>
    <row r="251">
      <c r="F251" s="31"/>
      <c r="U251" s="32"/>
    </row>
    <row r="252">
      <c r="F252" s="31"/>
      <c r="U252" s="32"/>
    </row>
    <row r="253">
      <c r="F253" s="31"/>
      <c r="U253" s="32"/>
    </row>
    <row r="254">
      <c r="F254" s="31"/>
      <c r="U254" s="32"/>
    </row>
    <row r="255">
      <c r="F255" s="31"/>
      <c r="U255" s="32"/>
    </row>
    <row r="256">
      <c r="F256" s="31"/>
      <c r="U256" s="32"/>
    </row>
    <row r="257">
      <c r="F257" s="31"/>
      <c r="U257" s="32"/>
    </row>
    <row r="258">
      <c r="F258" s="31"/>
      <c r="U258" s="32"/>
    </row>
    <row r="259">
      <c r="F259" s="31"/>
      <c r="U259" s="32"/>
    </row>
    <row r="260">
      <c r="F260" s="31"/>
      <c r="U260" s="32"/>
    </row>
    <row r="261">
      <c r="F261" s="31"/>
      <c r="U261" s="32"/>
    </row>
    <row r="262">
      <c r="F262" s="31"/>
      <c r="U262" s="32"/>
    </row>
    <row r="263">
      <c r="F263" s="31"/>
      <c r="U263" s="32"/>
    </row>
    <row r="264">
      <c r="F264" s="31"/>
      <c r="U264" s="32"/>
    </row>
    <row r="265">
      <c r="F265" s="31"/>
      <c r="U265" s="32"/>
    </row>
    <row r="266">
      <c r="F266" s="31"/>
      <c r="U266" s="32"/>
    </row>
    <row r="267">
      <c r="F267" s="31"/>
      <c r="U267" s="32"/>
    </row>
    <row r="268">
      <c r="F268" s="31"/>
      <c r="U268" s="32"/>
    </row>
    <row r="269">
      <c r="F269" s="31"/>
      <c r="U269" s="32"/>
    </row>
    <row r="270">
      <c r="F270" s="31"/>
      <c r="U270" s="32"/>
    </row>
    <row r="271">
      <c r="F271" s="31"/>
      <c r="U271" s="32"/>
    </row>
    <row r="272">
      <c r="F272" s="31"/>
      <c r="U272" s="32"/>
    </row>
    <row r="273">
      <c r="F273" s="31"/>
      <c r="U273" s="32"/>
    </row>
    <row r="274">
      <c r="F274" s="31"/>
      <c r="U274" s="32"/>
    </row>
    <row r="275">
      <c r="F275" s="31"/>
      <c r="U275" s="32"/>
    </row>
    <row r="276">
      <c r="F276" s="31"/>
      <c r="U276" s="32"/>
    </row>
    <row r="277">
      <c r="F277" s="31"/>
      <c r="U277" s="32"/>
    </row>
    <row r="278">
      <c r="F278" s="31"/>
      <c r="U278" s="32"/>
    </row>
    <row r="279">
      <c r="F279" s="31"/>
      <c r="U279" s="32"/>
    </row>
    <row r="280">
      <c r="F280" s="31"/>
      <c r="U280" s="32"/>
    </row>
    <row r="281">
      <c r="F281" s="31"/>
      <c r="U281" s="32"/>
    </row>
    <row r="282">
      <c r="F282" s="31"/>
      <c r="U282" s="32"/>
    </row>
    <row r="283">
      <c r="F283" s="31"/>
      <c r="U283" s="32"/>
    </row>
    <row r="284">
      <c r="F284" s="31"/>
      <c r="U284" s="32"/>
    </row>
    <row r="285">
      <c r="F285" s="31"/>
      <c r="U285" s="32"/>
    </row>
    <row r="286">
      <c r="F286" s="31"/>
      <c r="U286" s="32"/>
    </row>
    <row r="287">
      <c r="F287" s="31"/>
      <c r="U287" s="32"/>
    </row>
    <row r="288">
      <c r="F288" s="31"/>
      <c r="U288" s="32"/>
    </row>
    <row r="289">
      <c r="F289" s="31"/>
      <c r="U289" s="32"/>
    </row>
    <row r="290">
      <c r="F290" s="31"/>
      <c r="U290" s="32"/>
    </row>
    <row r="291">
      <c r="F291" s="31"/>
      <c r="U291" s="32"/>
    </row>
    <row r="292">
      <c r="F292" s="31"/>
      <c r="U292" s="32"/>
    </row>
    <row r="293">
      <c r="F293" s="31"/>
      <c r="U293" s="32"/>
    </row>
    <row r="294">
      <c r="F294" s="31"/>
      <c r="U294" s="32"/>
    </row>
    <row r="295">
      <c r="F295" s="31"/>
      <c r="U295" s="32"/>
    </row>
    <row r="296">
      <c r="F296" s="31"/>
      <c r="U296" s="32"/>
    </row>
    <row r="297">
      <c r="F297" s="31"/>
      <c r="U297" s="32"/>
    </row>
    <row r="298">
      <c r="F298" s="31"/>
      <c r="U298" s="32"/>
    </row>
    <row r="299">
      <c r="F299" s="31"/>
      <c r="U299" s="32"/>
    </row>
    <row r="300">
      <c r="F300" s="31"/>
      <c r="U300" s="32"/>
    </row>
    <row r="301">
      <c r="F301" s="31"/>
      <c r="U301" s="32"/>
    </row>
    <row r="302">
      <c r="F302" s="31"/>
      <c r="U302" s="32"/>
    </row>
    <row r="303">
      <c r="F303" s="31"/>
      <c r="U303" s="32"/>
    </row>
    <row r="304">
      <c r="F304" s="31"/>
      <c r="U304" s="32"/>
    </row>
    <row r="305">
      <c r="F305" s="31"/>
      <c r="U305" s="32"/>
    </row>
    <row r="306">
      <c r="F306" s="31"/>
      <c r="U306" s="32"/>
    </row>
    <row r="307">
      <c r="F307" s="31"/>
      <c r="U307" s="32"/>
    </row>
    <row r="308">
      <c r="F308" s="31"/>
      <c r="U308" s="32"/>
    </row>
    <row r="309">
      <c r="F309" s="31"/>
      <c r="U309" s="32"/>
    </row>
    <row r="310">
      <c r="F310" s="31"/>
      <c r="U310" s="32"/>
    </row>
    <row r="311">
      <c r="F311" s="31"/>
      <c r="U311" s="32"/>
    </row>
    <row r="312">
      <c r="F312" s="31"/>
      <c r="U312" s="32"/>
    </row>
    <row r="313">
      <c r="F313" s="31"/>
      <c r="U313" s="32"/>
    </row>
    <row r="314">
      <c r="F314" s="31"/>
      <c r="U314" s="32"/>
    </row>
    <row r="315">
      <c r="F315" s="31"/>
      <c r="U315" s="32"/>
    </row>
    <row r="316">
      <c r="F316" s="31"/>
      <c r="U316" s="32"/>
    </row>
    <row r="317">
      <c r="F317" s="31"/>
      <c r="U317" s="32"/>
    </row>
    <row r="318">
      <c r="F318" s="31"/>
      <c r="U318" s="32"/>
    </row>
    <row r="319">
      <c r="F319" s="31"/>
      <c r="U319" s="32"/>
    </row>
    <row r="320">
      <c r="F320" s="31"/>
      <c r="U320" s="32"/>
    </row>
    <row r="321">
      <c r="F321" s="31"/>
      <c r="U321" s="32"/>
    </row>
    <row r="322">
      <c r="F322" s="31"/>
      <c r="U322" s="32"/>
    </row>
    <row r="323">
      <c r="F323" s="31"/>
      <c r="U323" s="32"/>
    </row>
    <row r="324">
      <c r="F324" s="31"/>
      <c r="U324" s="32"/>
    </row>
    <row r="325">
      <c r="F325" s="31"/>
      <c r="U325" s="32"/>
    </row>
    <row r="326">
      <c r="F326" s="31"/>
      <c r="U326" s="32"/>
    </row>
    <row r="327">
      <c r="F327" s="31"/>
      <c r="U327" s="32"/>
    </row>
    <row r="328">
      <c r="F328" s="31"/>
      <c r="U328" s="32"/>
    </row>
    <row r="329">
      <c r="F329" s="31"/>
      <c r="U329" s="32"/>
    </row>
    <row r="330">
      <c r="F330" s="31"/>
      <c r="U330" s="32"/>
    </row>
    <row r="331">
      <c r="F331" s="31"/>
      <c r="U331" s="32"/>
    </row>
    <row r="332">
      <c r="F332" s="31"/>
      <c r="U332" s="32"/>
    </row>
    <row r="333">
      <c r="F333" s="31"/>
      <c r="U333" s="32"/>
    </row>
    <row r="334">
      <c r="F334" s="31"/>
      <c r="U334" s="32"/>
    </row>
    <row r="335">
      <c r="F335" s="31"/>
      <c r="U335" s="32"/>
    </row>
    <row r="336">
      <c r="F336" s="31"/>
      <c r="U336" s="32"/>
    </row>
    <row r="337">
      <c r="F337" s="31"/>
      <c r="U337" s="32"/>
    </row>
    <row r="338">
      <c r="F338" s="31"/>
      <c r="U338" s="32"/>
    </row>
    <row r="339">
      <c r="F339" s="31"/>
      <c r="U339" s="32"/>
    </row>
    <row r="340">
      <c r="F340" s="31"/>
      <c r="U340" s="32"/>
    </row>
    <row r="341">
      <c r="F341" s="31"/>
      <c r="U341" s="32"/>
    </row>
    <row r="342">
      <c r="F342" s="31"/>
      <c r="U342" s="32"/>
    </row>
    <row r="343">
      <c r="F343" s="31"/>
      <c r="U343" s="32"/>
    </row>
    <row r="344">
      <c r="F344" s="31"/>
      <c r="U344" s="32"/>
    </row>
    <row r="345">
      <c r="F345" s="31"/>
      <c r="U345" s="32"/>
    </row>
    <row r="346">
      <c r="F346" s="31"/>
      <c r="U346" s="32"/>
    </row>
    <row r="347">
      <c r="F347" s="31"/>
      <c r="U347" s="32"/>
    </row>
    <row r="348">
      <c r="F348" s="31"/>
      <c r="U348" s="32"/>
    </row>
    <row r="349">
      <c r="F349" s="31"/>
      <c r="U349" s="32"/>
    </row>
    <row r="350">
      <c r="F350" s="31"/>
      <c r="U350" s="32"/>
    </row>
    <row r="351">
      <c r="F351" s="31"/>
      <c r="U351" s="32"/>
    </row>
    <row r="352">
      <c r="F352" s="31"/>
      <c r="U352" s="32"/>
    </row>
    <row r="353">
      <c r="F353" s="31"/>
      <c r="U353" s="32"/>
    </row>
    <row r="354">
      <c r="F354" s="31"/>
      <c r="U354" s="32"/>
    </row>
    <row r="355">
      <c r="F355" s="31"/>
      <c r="U355" s="32"/>
    </row>
    <row r="356">
      <c r="F356" s="31"/>
      <c r="U356" s="32"/>
    </row>
    <row r="357">
      <c r="F357" s="31"/>
      <c r="U357" s="32"/>
    </row>
    <row r="358">
      <c r="F358" s="31"/>
      <c r="U358" s="32"/>
    </row>
    <row r="359">
      <c r="F359" s="31"/>
      <c r="U359" s="32"/>
    </row>
    <row r="360">
      <c r="F360" s="31"/>
      <c r="U360" s="32"/>
    </row>
    <row r="361">
      <c r="F361" s="31"/>
      <c r="U361" s="32"/>
    </row>
    <row r="362">
      <c r="F362" s="31"/>
      <c r="U362" s="32"/>
    </row>
    <row r="363">
      <c r="F363" s="31"/>
      <c r="U363" s="32"/>
    </row>
    <row r="364">
      <c r="F364" s="31"/>
      <c r="U364" s="32"/>
    </row>
    <row r="365">
      <c r="F365" s="31"/>
      <c r="U365" s="32"/>
    </row>
    <row r="366">
      <c r="F366" s="31"/>
      <c r="U366" s="32"/>
    </row>
    <row r="367">
      <c r="F367" s="31"/>
      <c r="U367" s="32"/>
    </row>
    <row r="368">
      <c r="F368" s="31"/>
      <c r="U368" s="32"/>
    </row>
    <row r="369">
      <c r="F369" s="31"/>
      <c r="U369" s="32"/>
    </row>
    <row r="370">
      <c r="F370" s="31"/>
      <c r="U370" s="32"/>
    </row>
    <row r="371">
      <c r="F371" s="31"/>
      <c r="U371" s="32"/>
    </row>
    <row r="372">
      <c r="F372" s="31"/>
      <c r="U372" s="32"/>
    </row>
    <row r="373">
      <c r="F373" s="31"/>
      <c r="U373" s="32"/>
    </row>
    <row r="374">
      <c r="F374" s="31"/>
      <c r="U374" s="32"/>
    </row>
    <row r="375">
      <c r="F375" s="31"/>
      <c r="U375" s="32"/>
    </row>
    <row r="376">
      <c r="F376" s="31"/>
      <c r="U376" s="32"/>
    </row>
    <row r="377">
      <c r="F377" s="31"/>
      <c r="U377" s="32"/>
    </row>
    <row r="378">
      <c r="F378" s="31"/>
      <c r="U378" s="32"/>
    </row>
    <row r="379">
      <c r="F379" s="31"/>
      <c r="U379" s="32"/>
    </row>
    <row r="380">
      <c r="F380" s="31"/>
      <c r="U380" s="32"/>
    </row>
    <row r="381">
      <c r="F381" s="31"/>
      <c r="U381" s="32"/>
    </row>
    <row r="382">
      <c r="F382" s="31"/>
      <c r="U382" s="32"/>
    </row>
    <row r="383">
      <c r="F383" s="31"/>
      <c r="U383" s="32"/>
    </row>
    <row r="384">
      <c r="F384" s="31"/>
      <c r="U384" s="32"/>
    </row>
    <row r="385">
      <c r="F385" s="31"/>
      <c r="U385" s="32"/>
    </row>
    <row r="386">
      <c r="F386" s="31"/>
      <c r="U386" s="32"/>
    </row>
    <row r="387">
      <c r="F387" s="31"/>
      <c r="U387" s="32"/>
    </row>
    <row r="388">
      <c r="F388" s="31"/>
      <c r="U388" s="32"/>
    </row>
    <row r="389">
      <c r="F389" s="31"/>
      <c r="U389" s="32"/>
    </row>
    <row r="390">
      <c r="F390" s="31"/>
      <c r="U390" s="32"/>
    </row>
    <row r="391">
      <c r="F391" s="31"/>
      <c r="U391" s="32"/>
    </row>
    <row r="392">
      <c r="F392" s="31"/>
      <c r="U392" s="32"/>
    </row>
    <row r="393">
      <c r="F393" s="31"/>
      <c r="U393" s="32"/>
    </row>
    <row r="394">
      <c r="F394" s="31"/>
      <c r="U394" s="32"/>
    </row>
    <row r="395">
      <c r="F395" s="31"/>
      <c r="U395" s="32"/>
    </row>
    <row r="396">
      <c r="F396" s="31"/>
      <c r="U396" s="32"/>
    </row>
    <row r="397">
      <c r="F397" s="31"/>
      <c r="U397" s="32"/>
    </row>
    <row r="398">
      <c r="F398" s="31"/>
      <c r="U398" s="32"/>
    </row>
    <row r="399">
      <c r="F399" s="31"/>
      <c r="U399" s="32"/>
    </row>
    <row r="400">
      <c r="F400" s="31"/>
      <c r="U400" s="32"/>
    </row>
    <row r="401">
      <c r="F401" s="31"/>
      <c r="U401" s="32"/>
    </row>
    <row r="402">
      <c r="F402" s="31"/>
      <c r="U402" s="32"/>
    </row>
    <row r="403">
      <c r="F403" s="31"/>
      <c r="U403" s="32"/>
    </row>
    <row r="404">
      <c r="F404" s="31"/>
      <c r="U404" s="32"/>
    </row>
    <row r="405">
      <c r="F405" s="31"/>
      <c r="U405" s="32"/>
    </row>
    <row r="406">
      <c r="F406" s="31"/>
      <c r="U406" s="32"/>
    </row>
    <row r="407">
      <c r="F407" s="31"/>
      <c r="U407" s="32"/>
    </row>
    <row r="408">
      <c r="F408" s="31"/>
      <c r="U408" s="32"/>
    </row>
    <row r="409">
      <c r="F409" s="31"/>
      <c r="U409" s="32"/>
    </row>
    <row r="410">
      <c r="F410" s="31"/>
      <c r="U410" s="32"/>
    </row>
    <row r="411">
      <c r="F411" s="31"/>
      <c r="U411" s="32"/>
    </row>
    <row r="412">
      <c r="F412" s="31"/>
      <c r="U412" s="32"/>
    </row>
    <row r="413">
      <c r="F413" s="31"/>
      <c r="U413" s="32"/>
    </row>
    <row r="414">
      <c r="F414" s="31"/>
      <c r="U414" s="32"/>
    </row>
    <row r="415">
      <c r="F415" s="31"/>
      <c r="U415" s="32"/>
    </row>
    <row r="416">
      <c r="F416" s="31"/>
      <c r="U416" s="32"/>
    </row>
    <row r="417">
      <c r="F417" s="31"/>
      <c r="U417" s="32"/>
    </row>
    <row r="418">
      <c r="F418" s="31"/>
      <c r="U418" s="32"/>
    </row>
    <row r="419">
      <c r="F419" s="31"/>
      <c r="U419" s="32"/>
    </row>
    <row r="420">
      <c r="F420" s="31"/>
      <c r="U420" s="32"/>
    </row>
    <row r="421">
      <c r="F421" s="31"/>
      <c r="U421" s="32"/>
    </row>
    <row r="422">
      <c r="F422" s="31"/>
      <c r="U422" s="32"/>
    </row>
    <row r="423">
      <c r="F423" s="31"/>
      <c r="U423" s="32"/>
    </row>
    <row r="424">
      <c r="F424" s="31"/>
      <c r="U424" s="32"/>
    </row>
    <row r="425">
      <c r="F425" s="31"/>
      <c r="U425" s="32"/>
    </row>
    <row r="426">
      <c r="F426" s="31"/>
      <c r="U426" s="32"/>
    </row>
    <row r="427">
      <c r="F427" s="31"/>
      <c r="U427" s="32"/>
    </row>
    <row r="428">
      <c r="F428" s="31"/>
      <c r="U428" s="32"/>
    </row>
    <row r="429">
      <c r="F429" s="31"/>
      <c r="U429" s="32"/>
    </row>
    <row r="430">
      <c r="F430" s="31"/>
      <c r="U430" s="32"/>
    </row>
    <row r="431">
      <c r="F431" s="31"/>
      <c r="U431" s="32"/>
    </row>
    <row r="432">
      <c r="F432" s="31"/>
      <c r="U432" s="32"/>
    </row>
    <row r="433">
      <c r="F433" s="31"/>
      <c r="U433" s="32"/>
    </row>
    <row r="434">
      <c r="F434" s="31"/>
      <c r="U434" s="32"/>
    </row>
    <row r="435">
      <c r="F435" s="31"/>
      <c r="U435" s="32"/>
    </row>
    <row r="436">
      <c r="F436" s="31"/>
      <c r="U436" s="32"/>
    </row>
    <row r="437">
      <c r="F437" s="31"/>
      <c r="U437" s="32"/>
    </row>
    <row r="438">
      <c r="F438" s="31"/>
      <c r="U438" s="32"/>
    </row>
    <row r="439">
      <c r="F439" s="31"/>
      <c r="U439" s="32"/>
    </row>
    <row r="440">
      <c r="F440" s="31"/>
      <c r="U440" s="32"/>
    </row>
    <row r="441">
      <c r="F441" s="31"/>
      <c r="U441" s="32"/>
    </row>
    <row r="442">
      <c r="F442" s="31"/>
      <c r="U442" s="32"/>
    </row>
    <row r="443">
      <c r="F443" s="31"/>
      <c r="U443" s="32"/>
    </row>
    <row r="444">
      <c r="F444" s="31"/>
      <c r="U444" s="32"/>
    </row>
    <row r="445">
      <c r="F445" s="31"/>
      <c r="U445" s="32"/>
    </row>
    <row r="446">
      <c r="F446" s="31"/>
      <c r="U446" s="32"/>
    </row>
    <row r="447">
      <c r="F447" s="31"/>
      <c r="U447" s="32"/>
    </row>
    <row r="448">
      <c r="F448" s="31"/>
      <c r="U448" s="32"/>
    </row>
    <row r="449">
      <c r="F449" s="31"/>
      <c r="U449" s="32"/>
    </row>
    <row r="450">
      <c r="F450" s="31"/>
      <c r="U450" s="32"/>
    </row>
    <row r="451">
      <c r="F451" s="31"/>
      <c r="U451" s="32"/>
    </row>
    <row r="452">
      <c r="F452" s="31"/>
      <c r="U452" s="32"/>
    </row>
    <row r="453">
      <c r="F453" s="31"/>
      <c r="U453" s="32"/>
    </row>
    <row r="454">
      <c r="F454" s="31"/>
      <c r="U454" s="32"/>
    </row>
    <row r="455">
      <c r="F455" s="31"/>
      <c r="U455" s="32"/>
    </row>
    <row r="456">
      <c r="F456" s="31"/>
      <c r="U456" s="32"/>
    </row>
    <row r="457">
      <c r="F457" s="31"/>
      <c r="U457" s="32"/>
    </row>
    <row r="458">
      <c r="F458" s="31"/>
      <c r="U458" s="32"/>
    </row>
    <row r="459">
      <c r="F459" s="31"/>
      <c r="U459" s="32"/>
    </row>
    <row r="460">
      <c r="F460" s="31"/>
      <c r="U460" s="32"/>
    </row>
    <row r="461">
      <c r="F461" s="31"/>
      <c r="U461" s="32"/>
    </row>
    <row r="462">
      <c r="F462" s="31"/>
      <c r="U462" s="32"/>
    </row>
    <row r="463">
      <c r="F463" s="31"/>
      <c r="U463" s="32"/>
    </row>
    <row r="464">
      <c r="F464" s="31"/>
      <c r="U464" s="32"/>
    </row>
    <row r="465">
      <c r="F465" s="31"/>
      <c r="U465" s="32"/>
    </row>
    <row r="466">
      <c r="F466" s="31"/>
      <c r="U466" s="32"/>
    </row>
    <row r="467">
      <c r="F467" s="31"/>
      <c r="U467" s="32"/>
    </row>
    <row r="468">
      <c r="F468" s="31"/>
      <c r="U468" s="32"/>
    </row>
    <row r="469">
      <c r="F469" s="31"/>
      <c r="U469" s="32"/>
    </row>
    <row r="470">
      <c r="F470" s="31"/>
      <c r="U470" s="32"/>
    </row>
    <row r="471">
      <c r="F471" s="31"/>
      <c r="U471" s="32"/>
    </row>
    <row r="472">
      <c r="F472" s="31"/>
      <c r="U472" s="32"/>
    </row>
    <row r="473">
      <c r="F473" s="31"/>
      <c r="U473" s="32"/>
    </row>
    <row r="474">
      <c r="F474" s="31"/>
      <c r="U474" s="32"/>
    </row>
    <row r="475">
      <c r="F475" s="31"/>
      <c r="U475" s="32"/>
    </row>
    <row r="476">
      <c r="F476" s="31"/>
      <c r="U476" s="32"/>
    </row>
    <row r="477">
      <c r="F477" s="31"/>
      <c r="U477" s="32"/>
    </row>
    <row r="478">
      <c r="F478" s="31"/>
      <c r="U478" s="32"/>
    </row>
    <row r="479">
      <c r="F479" s="31"/>
      <c r="U479" s="32"/>
    </row>
    <row r="480">
      <c r="F480" s="31"/>
      <c r="U480" s="32"/>
    </row>
    <row r="481">
      <c r="F481" s="31"/>
      <c r="U481" s="32"/>
    </row>
    <row r="482">
      <c r="F482" s="31"/>
      <c r="U482" s="32"/>
    </row>
    <row r="483">
      <c r="F483" s="31"/>
      <c r="U483" s="32"/>
    </row>
    <row r="484">
      <c r="F484" s="31"/>
      <c r="U484" s="32"/>
    </row>
    <row r="485">
      <c r="F485" s="31"/>
      <c r="U485" s="32"/>
    </row>
    <row r="486">
      <c r="F486" s="31"/>
      <c r="U486" s="32"/>
    </row>
    <row r="487">
      <c r="F487" s="31"/>
      <c r="U487" s="32"/>
    </row>
    <row r="488">
      <c r="F488" s="31"/>
      <c r="U488" s="32"/>
    </row>
    <row r="489">
      <c r="F489" s="31"/>
      <c r="U489" s="32"/>
    </row>
    <row r="490">
      <c r="F490" s="31"/>
      <c r="U490" s="32"/>
    </row>
    <row r="491">
      <c r="F491" s="31"/>
      <c r="U491" s="32"/>
    </row>
    <row r="492">
      <c r="F492" s="31"/>
      <c r="U492" s="32"/>
    </row>
    <row r="493">
      <c r="F493" s="31"/>
      <c r="U493" s="32"/>
    </row>
    <row r="494">
      <c r="F494" s="31"/>
      <c r="U494" s="32"/>
    </row>
    <row r="495">
      <c r="F495" s="31"/>
      <c r="U495" s="32"/>
    </row>
    <row r="496">
      <c r="F496" s="31"/>
      <c r="U496" s="32"/>
    </row>
    <row r="497">
      <c r="F497" s="31"/>
      <c r="U497" s="32"/>
    </row>
    <row r="498">
      <c r="F498" s="31"/>
      <c r="U498" s="32"/>
    </row>
    <row r="499">
      <c r="F499" s="31"/>
      <c r="U499" s="32"/>
    </row>
    <row r="500">
      <c r="F500" s="31"/>
      <c r="U500" s="32"/>
    </row>
    <row r="501">
      <c r="F501" s="31"/>
      <c r="U501" s="32"/>
    </row>
    <row r="502">
      <c r="F502" s="31"/>
      <c r="U502" s="32"/>
    </row>
    <row r="503">
      <c r="F503" s="31"/>
      <c r="U503" s="32"/>
    </row>
    <row r="504">
      <c r="F504" s="31"/>
      <c r="U504" s="32"/>
    </row>
    <row r="505">
      <c r="F505" s="31"/>
      <c r="U505" s="32"/>
    </row>
    <row r="506">
      <c r="F506" s="31"/>
      <c r="U506" s="32"/>
    </row>
    <row r="507">
      <c r="F507" s="31"/>
      <c r="U507" s="32"/>
    </row>
    <row r="508">
      <c r="F508" s="31"/>
      <c r="U508" s="32"/>
    </row>
    <row r="509">
      <c r="F509" s="31"/>
      <c r="U509" s="32"/>
    </row>
    <row r="510">
      <c r="F510" s="31"/>
      <c r="U510" s="32"/>
    </row>
    <row r="511">
      <c r="F511" s="31"/>
      <c r="U511" s="32"/>
    </row>
    <row r="512">
      <c r="F512" s="31"/>
      <c r="U512" s="32"/>
    </row>
    <row r="513">
      <c r="F513" s="31"/>
      <c r="U513" s="32"/>
    </row>
    <row r="514">
      <c r="F514" s="31"/>
      <c r="U514" s="32"/>
    </row>
    <row r="515">
      <c r="F515" s="31"/>
      <c r="U515" s="32"/>
    </row>
    <row r="516">
      <c r="F516" s="31"/>
      <c r="U516" s="32"/>
    </row>
    <row r="517">
      <c r="F517" s="31"/>
      <c r="U517" s="32"/>
    </row>
    <row r="518">
      <c r="F518" s="31"/>
      <c r="U518" s="32"/>
    </row>
    <row r="519">
      <c r="F519" s="31"/>
      <c r="U519" s="32"/>
    </row>
    <row r="520">
      <c r="F520" s="31"/>
      <c r="U520" s="32"/>
    </row>
    <row r="521">
      <c r="F521" s="31"/>
      <c r="U521" s="32"/>
    </row>
    <row r="522">
      <c r="F522" s="31"/>
      <c r="U522" s="32"/>
    </row>
    <row r="523">
      <c r="F523" s="31"/>
      <c r="U523" s="32"/>
    </row>
    <row r="524">
      <c r="F524" s="31"/>
      <c r="U524" s="32"/>
    </row>
    <row r="525">
      <c r="F525" s="31"/>
      <c r="U525" s="32"/>
    </row>
    <row r="526">
      <c r="F526" s="31"/>
      <c r="U526" s="32"/>
    </row>
    <row r="527">
      <c r="F527" s="31"/>
      <c r="U527" s="32"/>
    </row>
    <row r="528">
      <c r="F528" s="31"/>
      <c r="U528" s="32"/>
    </row>
    <row r="529">
      <c r="F529" s="31"/>
      <c r="U529" s="32"/>
    </row>
    <row r="530">
      <c r="F530" s="31"/>
      <c r="U530" s="32"/>
    </row>
    <row r="531">
      <c r="F531" s="31"/>
      <c r="U531" s="32"/>
    </row>
    <row r="532">
      <c r="F532" s="31"/>
      <c r="U532" s="32"/>
    </row>
    <row r="533">
      <c r="F533" s="31"/>
      <c r="U533" s="32"/>
    </row>
    <row r="534">
      <c r="F534" s="31"/>
      <c r="U534" s="32"/>
    </row>
    <row r="535">
      <c r="F535" s="31"/>
      <c r="U535" s="32"/>
    </row>
    <row r="536">
      <c r="F536" s="31"/>
      <c r="U536" s="32"/>
    </row>
    <row r="537">
      <c r="F537" s="31"/>
      <c r="U537" s="32"/>
    </row>
    <row r="538">
      <c r="F538" s="31"/>
      <c r="U538" s="32"/>
    </row>
    <row r="539">
      <c r="F539" s="31"/>
      <c r="U539" s="32"/>
    </row>
    <row r="540">
      <c r="F540" s="31"/>
      <c r="U540" s="32"/>
    </row>
    <row r="541">
      <c r="F541" s="31"/>
      <c r="U541" s="32"/>
    </row>
    <row r="542">
      <c r="F542" s="31"/>
      <c r="U542" s="32"/>
    </row>
    <row r="543">
      <c r="F543" s="31"/>
      <c r="U543" s="32"/>
    </row>
    <row r="544">
      <c r="F544" s="31"/>
      <c r="U544" s="32"/>
    </row>
    <row r="545">
      <c r="F545" s="31"/>
      <c r="U545" s="32"/>
    </row>
    <row r="546">
      <c r="F546" s="31"/>
      <c r="U546" s="32"/>
    </row>
    <row r="547">
      <c r="F547" s="31"/>
      <c r="U547" s="32"/>
    </row>
    <row r="548">
      <c r="F548" s="31"/>
      <c r="U548" s="32"/>
    </row>
    <row r="549">
      <c r="F549" s="31"/>
      <c r="U549" s="32"/>
    </row>
    <row r="550">
      <c r="F550" s="31"/>
      <c r="U550" s="32"/>
    </row>
    <row r="551">
      <c r="F551" s="31"/>
      <c r="U551" s="32"/>
    </row>
    <row r="552">
      <c r="F552" s="31"/>
      <c r="U552" s="32"/>
    </row>
    <row r="553">
      <c r="F553" s="31"/>
      <c r="U553" s="32"/>
    </row>
    <row r="554">
      <c r="F554" s="31"/>
      <c r="U554" s="32"/>
    </row>
    <row r="555">
      <c r="F555" s="31"/>
      <c r="U555" s="32"/>
    </row>
    <row r="556">
      <c r="F556" s="31"/>
      <c r="U556" s="32"/>
    </row>
    <row r="557">
      <c r="F557" s="31"/>
      <c r="U557" s="32"/>
    </row>
    <row r="558">
      <c r="F558" s="31"/>
      <c r="U558" s="32"/>
    </row>
    <row r="559">
      <c r="F559" s="31"/>
      <c r="U559" s="32"/>
    </row>
    <row r="560">
      <c r="F560" s="31"/>
      <c r="U560" s="32"/>
    </row>
    <row r="561">
      <c r="F561" s="31"/>
      <c r="U561" s="32"/>
    </row>
    <row r="562">
      <c r="F562" s="31"/>
      <c r="U562" s="32"/>
    </row>
    <row r="563">
      <c r="F563" s="31"/>
      <c r="U563" s="32"/>
    </row>
    <row r="564">
      <c r="F564" s="31"/>
      <c r="U564" s="32"/>
    </row>
    <row r="565">
      <c r="F565" s="31"/>
      <c r="U565" s="32"/>
    </row>
    <row r="566">
      <c r="F566" s="31"/>
      <c r="U566" s="32"/>
    </row>
    <row r="567">
      <c r="F567" s="31"/>
      <c r="U567" s="32"/>
    </row>
    <row r="568">
      <c r="F568" s="31"/>
      <c r="U568" s="32"/>
    </row>
    <row r="569">
      <c r="F569" s="31"/>
      <c r="U569" s="32"/>
    </row>
    <row r="570">
      <c r="F570" s="31"/>
      <c r="U570" s="32"/>
    </row>
    <row r="571">
      <c r="F571" s="31"/>
      <c r="U571" s="32"/>
    </row>
    <row r="572">
      <c r="F572" s="31"/>
      <c r="U572" s="32"/>
    </row>
    <row r="573">
      <c r="F573" s="31"/>
      <c r="U573" s="32"/>
    </row>
    <row r="574">
      <c r="F574" s="31"/>
      <c r="U574" s="32"/>
    </row>
    <row r="575">
      <c r="F575" s="31"/>
      <c r="U575" s="32"/>
    </row>
    <row r="576">
      <c r="F576" s="31"/>
      <c r="U576" s="32"/>
    </row>
    <row r="577">
      <c r="F577" s="31"/>
      <c r="U577" s="32"/>
    </row>
    <row r="578">
      <c r="F578" s="31"/>
      <c r="U578" s="32"/>
    </row>
    <row r="579">
      <c r="F579" s="31"/>
      <c r="U579" s="32"/>
    </row>
    <row r="580">
      <c r="F580" s="31"/>
      <c r="U580" s="32"/>
    </row>
    <row r="581">
      <c r="F581" s="31"/>
      <c r="U581" s="32"/>
    </row>
    <row r="582">
      <c r="F582" s="31"/>
      <c r="U582" s="32"/>
    </row>
    <row r="583">
      <c r="F583" s="31"/>
      <c r="U583" s="32"/>
    </row>
    <row r="584">
      <c r="F584" s="31"/>
      <c r="U584" s="32"/>
    </row>
    <row r="585">
      <c r="F585" s="31"/>
      <c r="U585" s="32"/>
    </row>
    <row r="586">
      <c r="F586" s="31"/>
      <c r="U586" s="32"/>
    </row>
    <row r="587">
      <c r="F587" s="31"/>
      <c r="U587" s="32"/>
    </row>
    <row r="588">
      <c r="F588" s="31"/>
      <c r="U588" s="32"/>
    </row>
    <row r="589">
      <c r="F589" s="31"/>
      <c r="U589" s="32"/>
    </row>
    <row r="590">
      <c r="F590" s="31"/>
      <c r="U590" s="32"/>
    </row>
    <row r="591">
      <c r="F591" s="31"/>
      <c r="U591" s="32"/>
    </row>
    <row r="592">
      <c r="F592" s="31"/>
      <c r="U592" s="32"/>
    </row>
    <row r="593">
      <c r="F593" s="31"/>
      <c r="U593" s="32"/>
    </row>
    <row r="594">
      <c r="F594" s="31"/>
      <c r="U594" s="32"/>
    </row>
    <row r="595">
      <c r="F595" s="31"/>
      <c r="U595" s="32"/>
    </row>
    <row r="596">
      <c r="F596" s="31"/>
      <c r="U596" s="32"/>
    </row>
    <row r="597">
      <c r="F597" s="31"/>
      <c r="U597" s="32"/>
    </row>
    <row r="598">
      <c r="F598" s="31"/>
      <c r="U598" s="32"/>
    </row>
    <row r="599">
      <c r="F599" s="31"/>
      <c r="U599" s="32"/>
    </row>
    <row r="600">
      <c r="F600" s="31"/>
      <c r="U600" s="32"/>
    </row>
    <row r="601">
      <c r="F601" s="31"/>
      <c r="U601" s="32"/>
    </row>
    <row r="602">
      <c r="F602" s="31"/>
      <c r="U602" s="32"/>
    </row>
    <row r="603">
      <c r="F603" s="31"/>
      <c r="U603" s="32"/>
    </row>
    <row r="604">
      <c r="F604" s="31"/>
      <c r="U604" s="32"/>
    </row>
    <row r="605">
      <c r="F605" s="31"/>
      <c r="U605" s="32"/>
    </row>
    <row r="606">
      <c r="F606" s="31"/>
      <c r="U606" s="32"/>
    </row>
    <row r="607">
      <c r="F607" s="31"/>
      <c r="U607" s="32"/>
    </row>
    <row r="608">
      <c r="F608" s="31"/>
      <c r="U608" s="32"/>
    </row>
    <row r="609">
      <c r="F609" s="31"/>
      <c r="U609" s="32"/>
    </row>
    <row r="610">
      <c r="F610" s="31"/>
      <c r="U610" s="32"/>
    </row>
    <row r="611">
      <c r="F611" s="31"/>
      <c r="U611" s="32"/>
    </row>
    <row r="612">
      <c r="F612" s="31"/>
      <c r="U612" s="32"/>
    </row>
    <row r="613">
      <c r="F613" s="31"/>
      <c r="U613" s="32"/>
    </row>
    <row r="614">
      <c r="F614" s="31"/>
      <c r="U614" s="32"/>
    </row>
    <row r="615">
      <c r="F615" s="31"/>
      <c r="U615" s="32"/>
    </row>
    <row r="616">
      <c r="F616" s="31"/>
      <c r="U616" s="32"/>
    </row>
    <row r="617">
      <c r="F617" s="31"/>
      <c r="U617" s="32"/>
    </row>
    <row r="618">
      <c r="F618" s="31"/>
      <c r="U618" s="32"/>
    </row>
    <row r="619">
      <c r="F619" s="31"/>
      <c r="U619" s="32"/>
    </row>
    <row r="620">
      <c r="F620" s="31"/>
      <c r="U620" s="32"/>
    </row>
    <row r="621">
      <c r="F621" s="31"/>
      <c r="U621" s="32"/>
    </row>
    <row r="622">
      <c r="F622" s="31"/>
      <c r="U622" s="32"/>
    </row>
    <row r="623">
      <c r="F623" s="31"/>
      <c r="U623" s="32"/>
    </row>
    <row r="624">
      <c r="F624" s="31"/>
      <c r="U624" s="32"/>
    </row>
    <row r="625">
      <c r="F625" s="31"/>
      <c r="U625" s="32"/>
    </row>
    <row r="626">
      <c r="F626" s="31"/>
      <c r="U626" s="32"/>
    </row>
    <row r="627">
      <c r="F627" s="31"/>
      <c r="U627" s="32"/>
    </row>
    <row r="628">
      <c r="F628" s="31"/>
      <c r="U628" s="32"/>
    </row>
    <row r="629">
      <c r="F629" s="31"/>
      <c r="U629" s="32"/>
    </row>
    <row r="630">
      <c r="F630" s="31"/>
      <c r="U630" s="32"/>
    </row>
    <row r="631">
      <c r="F631" s="31"/>
      <c r="U631" s="32"/>
    </row>
    <row r="632">
      <c r="F632" s="31"/>
      <c r="U632" s="32"/>
    </row>
    <row r="633">
      <c r="F633" s="31"/>
      <c r="U633" s="32"/>
    </row>
    <row r="634">
      <c r="F634" s="31"/>
      <c r="U634" s="32"/>
    </row>
    <row r="635">
      <c r="F635" s="31"/>
      <c r="U635" s="32"/>
    </row>
    <row r="636">
      <c r="F636" s="31"/>
      <c r="U636" s="32"/>
    </row>
    <row r="637">
      <c r="F637" s="31"/>
      <c r="U637" s="32"/>
    </row>
    <row r="638">
      <c r="F638" s="31"/>
      <c r="U638" s="32"/>
    </row>
    <row r="639">
      <c r="F639" s="31"/>
      <c r="U639" s="32"/>
    </row>
    <row r="640">
      <c r="F640" s="31"/>
      <c r="U640" s="32"/>
    </row>
    <row r="641">
      <c r="F641" s="31"/>
      <c r="U641" s="32"/>
    </row>
    <row r="642">
      <c r="F642" s="31"/>
      <c r="U642" s="32"/>
    </row>
    <row r="643">
      <c r="F643" s="31"/>
      <c r="U643" s="32"/>
    </row>
    <row r="644">
      <c r="F644" s="31"/>
      <c r="U644" s="32"/>
    </row>
    <row r="645">
      <c r="F645" s="31"/>
      <c r="U645" s="32"/>
    </row>
    <row r="646">
      <c r="F646" s="31"/>
      <c r="U646" s="32"/>
    </row>
    <row r="647">
      <c r="F647" s="31"/>
      <c r="U647" s="32"/>
    </row>
    <row r="648">
      <c r="F648" s="31"/>
      <c r="U648" s="32"/>
    </row>
    <row r="649">
      <c r="F649" s="31"/>
      <c r="U649" s="32"/>
    </row>
    <row r="650">
      <c r="F650" s="31"/>
      <c r="U650" s="32"/>
    </row>
    <row r="651">
      <c r="F651" s="31"/>
      <c r="U651" s="32"/>
    </row>
    <row r="652">
      <c r="F652" s="31"/>
      <c r="U652" s="32"/>
    </row>
    <row r="653">
      <c r="F653" s="31"/>
      <c r="U653" s="32"/>
    </row>
    <row r="654">
      <c r="F654" s="31"/>
      <c r="U654" s="32"/>
    </row>
    <row r="655">
      <c r="F655" s="31"/>
      <c r="U655" s="32"/>
    </row>
    <row r="656">
      <c r="F656" s="31"/>
      <c r="U656" s="32"/>
    </row>
    <row r="657">
      <c r="F657" s="31"/>
      <c r="U657" s="32"/>
    </row>
    <row r="658">
      <c r="F658" s="31"/>
      <c r="U658" s="32"/>
    </row>
    <row r="659">
      <c r="F659" s="31"/>
      <c r="U659" s="32"/>
    </row>
    <row r="660">
      <c r="F660" s="31"/>
      <c r="U660" s="32"/>
    </row>
    <row r="661">
      <c r="F661" s="31"/>
      <c r="U661" s="32"/>
    </row>
    <row r="662">
      <c r="F662" s="31"/>
      <c r="U662" s="32"/>
    </row>
    <row r="663">
      <c r="F663" s="31"/>
      <c r="U663" s="32"/>
    </row>
    <row r="664">
      <c r="F664" s="31"/>
      <c r="U664" s="32"/>
    </row>
    <row r="665">
      <c r="F665" s="31"/>
      <c r="U665" s="32"/>
    </row>
    <row r="666">
      <c r="F666" s="31"/>
      <c r="U666" s="32"/>
    </row>
    <row r="667">
      <c r="F667" s="31"/>
      <c r="U667" s="32"/>
    </row>
    <row r="668">
      <c r="F668" s="31"/>
      <c r="U668" s="32"/>
    </row>
    <row r="669">
      <c r="F669" s="31"/>
      <c r="U669" s="32"/>
    </row>
    <row r="670">
      <c r="F670" s="31"/>
      <c r="U670" s="32"/>
    </row>
    <row r="671">
      <c r="F671" s="31"/>
      <c r="U671" s="32"/>
    </row>
    <row r="672">
      <c r="F672" s="31"/>
      <c r="U672" s="32"/>
    </row>
    <row r="673">
      <c r="F673" s="31"/>
      <c r="U673" s="32"/>
    </row>
    <row r="674">
      <c r="F674" s="31"/>
      <c r="U674" s="32"/>
    </row>
    <row r="675">
      <c r="F675" s="31"/>
      <c r="U675" s="32"/>
    </row>
    <row r="676">
      <c r="F676" s="31"/>
      <c r="U676" s="32"/>
    </row>
    <row r="677">
      <c r="F677" s="31"/>
      <c r="U677" s="32"/>
    </row>
    <row r="678">
      <c r="F678" s="31"/>
      <c r="U678" s="32"/>
    </row>
    <row r="679">
      <c r="F679" s="31"/>
      <c r="U679" s="32"/>
    </row>
    <row r="680">
      <c r="F680" s="31"/>
      <c r="U680" s="32"/>
    </row>
    <row r="681">
      <c r="F681" s="31"/>
      <c r="U681" s="32"/>
    </row>
    <row r="682">
      <c r="F682" s="31"/>
      <c r="U682" s="32"/>
    </row>
    <row r="683">
      <c r="F683" s="31"/>
      <c r="U683" s="32"/>
    </row>
    <row r="684">
      <c r="F684" s="31"/>
      <c r="U684" s="32"/>
    </row>
    <row r="685">
      <c r="F685" s="31"/>
      <c r="U685" s="32"/>
    </row>
    <row r="686">
      <c r="F686" s="31"/>
      <c r="U686" s="32"/>
    </row>
    <row r="687">
      <c r="F687" s="31"/>
      <c r="U687" s="32"/>
    </row>
    <row r="688">
      <c r="F688" s="31"/>
      <c r="U688" s="32"/>
    </row>
    <row r="689">
      <c r="F689" s="31"/>
      <c r="U689" s="32"/>
    </row>
    <row r="690">
      <c r="F690" s="31"/>
      <c r="U690" s="32"/>
    </row>
    <row r="691">
      <c r="F691" s="31"/>
      <c r="U691" s="32"/>
    </row>
    <row r="692">
      <c r="F692" s="31"/>
      <c r="U692" s="32"/>
    </row>
    <row r="693">
      <c r="F693" s="31"/>
      <c r="U693" s="32"/>
    </row>
    <row r="694">
      <c r="F694" s="31"/>
      <c r="U694" s="32"/>
    </row>
    <row r="695">
      <c r="F695" s="31"/>
      <c r="U695" s="32"/>
    </row>
    <row r="696">
      <c r="F696" s="31"/>
      <c r="U696" s="32"/>
    </row>
    <row r="697">
      <c r="F697" s="31"/>
      <c r="U697" s="32"/>
    </row>
    <row r="698">
      <c r="F698" s="31"/>
      <c r="U698" s="32"/>
    </row>
    <row r="699">
      <c r="F699" s="31"/>
      <c r="U699" s="32"/>
    </row>
    <row r="700">
      <c r="F700" s="31"/>
      <c r="U700" s="32"/>
    </row>
    <row r="701">
      <c r="F701" s="31"/>
      <c r="U701" s="32"/>
    </row>
    <row r="702">
      <c r="F702" s="31"/>
      <c r="U702" s="32"/>
    </row>
    <row r="703">
      <c r="F703" s="31"/>
      <c r="U703" s="32"/>
    </row>
    <row r="704">
      <c r="F704" s="31"/>
      <c r="U704" s="32"/>
    </row>
    <row r="705">
      <c r="F705" s="31"/>
      <c r="U705" s="32"/>
    </row>
    <row r="706">
      <c r="F706" s="31"/>
      <c r="U706" s="32"/>
    </row>
    <row r="707">
      <c r="F707" s="31"/>
      <c r="U707" s="32"/>
    </row>
    <row r="708">
      <c r="F708" s="31"/>
      <c r="U708" s="32"/>
    </row>
    <row r="709">
      <c r="F709" s="31"/>
      <c r="U709" s="32"/>
    </row>
    <row r="710">
      <c r="F710" s="31"/>
      <c r="U710" s="32"/>
    </row>
    <row r="711">
      <c r="F711" s="31"/>
      <c r="U711" s="32"/>
    </row>
    <row r="712">
      <c r="F712" s="31"/>
      <c r="U712" s="32"/>
    </row>
    <row r="713">
      <c r="F713" s="31"/>
      <c r="U713" s="32"/>
    </row>
    <row r="714">
      <c r="F714" s="31"/>
      <c r="U714" s="32"/>
    </row>
    <row r="715">
      <c r="F715" s="31"/>
      <c r="U715" s="32"/>
    </row>
    <row r="716">
      <c r="F716" s="31"/>
      <c r="U716" s="32"/>
    </row>
    <row r="717">
      <c r="F717" s="31"/>
      <c r="U717" s="32"/>
    </row>
    <row r="718">
      <c r="F718" s="31"/>
      <c r="U718" s="32"/>
    </row>
    <row r="719">
      <c r="F719" s="31"/>
      <c r="U719" s="32"/>
    </row>
    <row r="720">
      <c r="F720" s="31"/>
      <c r="U720" s="32"/>
    </row>
    <row r="721">
      <c r="F721" s="31"/>
      <c r="U721" s="32"/>
    </row>
    <row r="722">
      <c r="F722" s="31"/>
      <c r="U722" s="32"/>
    </row>
    <row r="723">
      <c r="F723" s="31"/>
      <c r="U723" s="32"/>
    </row>
    <row r="724">
      <c r="F724" s="31"/>
      <c r="U724" s="32"/>
    </row>
    <row r="725">
      <c r="F725" s="31"/>
      <c r="U725" s="32"/>
    </row>
    <row r="726">
      <c r="F726" s="31"/>
      <c r="U726" s="32"/>
    </row>
    <row r="727">
      <c r="F727" s="31"/>
      <c r="U727" s="32"/>
    </row>
    <row r="728">
      <c r="F728" s="31"/>
      <c r="U728" s="32"/>
    </row>
    <row r="729">
      <c r="F729" s="31"/>
      <c r="U729" s="32"/>
    </row>
    <row r="730">
      <c r="F730" s="31"/>
      <c r="U730" s="32"/>
    </row>
    <row r="731">
      <c r="F731" s="31"/>
      <c r="U731" s="32"/>
    </row>
    <row r="732">
      <c r="F732" s="31"/>
      <c r="U732" s="32"/>
    </row>
    <row r="733">
      <c r="F733" s="31"/>
      <c r="U733" s="32"/>
    </row>
    <row r="734">
      <c r="F734" s="31"/>
      <c r="U734" s="32"/>
    </row>
    <row r="735">
      <c r="F735" s="31"/>
      <c r="U735" s="32"/>
    </row>
    <row r="736">
      <c r="F736" s="31"/>
      <c r="U736" s="32"/>
    </row>
    <row r="737">
      <c r="F737" s="31"/>
      <c r="U737" s="32"/>
    </row>
    <row r="738">
      <c r="F738" s="31"/>
      <c r="U738" s="32"/>
    </row>
    <row r="739">
      <c r="F739" s="31"/>
      <c r="U739" s="32"/>
    </row>
    <row r="740">
      <c r="F740" s="31"/>
      <c r="U740" s="32"/>
    </row>
    <row r="741">
      <c r="F741" s="31"/>
      <c r="U741" s="32"/>
    </row>
    <row r="742">
      <c r="F742" s="31"/>
      <c r="U742" s="32"/>
    </row>
    <row r="743">
      <c r="F743" s="31"/>
      <c r="U743" s="32"/>
    </row>
    <row r="744">
      <c r="F744" s="31"/>
      <c r="U744" s="32"/>
    </row>
    <row r="745">
      <c r="F745" s="31"/>
      <c r="U745" s="32"/>
    </row>
    <row r="746">
      <c r="F746" s="31"/>
      <c r="U746" s="32"/>
    </row>
    <row r="747">
      <c r="F747" s="31"/>
      <c r="U747" s="32"/>
    </row>
    <row r="748">
      <c r="F748" s="31"/>
      <c r="U748" s="32"/>
    </row>
    <row r="749">
      <c r="F749" s="31"/>
      <c r="U749" s="32"/>
    </row>
    <row r="750">
      <c r="F750" s="31"/>
      <c r="U750" s="32"/>
    </row>
    <row r="751">
      <c r="F751" s="31"/>
      <c r="U751" s="32"/>
    </row>
    <row r="752">
      <c r="F752" s="31"/>
      <c r="U752" s="32"/>
    </row>
    <row r="753">
      <c r="F753" s="31"/>
      <c r="U753" s="32"/>
    </row>
    <row r="754">
      <c r="F754" s="31"/>
      <c r="U754" s="32"/>
    </row>
    <row r="755">
      <c r="F755" s="31"/>
      <c r="U755" s="32"/>
    </row>
    <row r="756">
      <c r="F756" s="31"/>
      <c r="U756" s="32"/>
    </row>
    <row r="757">
      <c r="F757" s="31"/>
      <c r="U757" s="32"/>
    </row>
    <row r="758">
      <c r="F758" s="31"/>
      <c r="U758" s="32"/>
    </row>
    <row r="759">
      <c r="F759" s="31"/>
      <c r="U759" s="32"/>
    </row>
    <row r="760">
      <c r="F760" s="31"/>
      <c r="U760" s="32"/>
    </row>
    <row r="761">
      <c r="F761" s="31"/>
      <c r="U761" s="32"/>
    </row>
    <row r="762">
      <c r="F762" s="31"/>
      <c r="U762" s="32"/>
    </row>
    <row r="763">
      <c r="F763" s="31"/>
      <c r="U763" s="32"/>
    </row>
    <row r="764">
      <c r="F764" s="31"/>
      <c r="U764" s="32"/>
    </row>
    <row r="765">
      <c r="F765" s="31"/>
      <c r="U765" s="32"/>
    </row>
    <row r="766">
      <c r="F766" s="31"/>
      <c r="U766" s="32"/>
    </row>
    <row r="767">
      <c r="F767" s="31"/>
      <c r="U767" s="32"/>
    </row>
    <row r="768">
      <c r="F768" s="31"/>
      <c r="U768" s="32"/>
    </row>
    <row r="769">
      <c r="F769" s="31"/>
      <c r="U769" s="32"/>
    </row>
    <row r="770">
      <c r="F770" s="31"/>
      <c r="U770" s="32"/>
    </row>
    <row r="771">
      <c r="F771" s="31"/>
      <c r="U771" s="32"/>
    </row>
    <row r="772">
      <c r="F772" s="31"/>
      <c r="U772" s="32"/>
    </row>
    <row r="773">
      <c r="F773" s="31"/>
      <c r="U773" s="32"/>
    </row>
    <row r="774">
      <c r="F774" s="31"/>
      <c r="U774" s="32"/>
    </row>
    <row r="775">
      <c r="F775" s="31"/>
      <c r="U775" s="32"/>
    </row>
    <row r="776">
      <c r="F776" s="31"/>
      <c r="U776" s="32"/>
    </row>
    <row r="777">
      <c r="F777" s="31"/>
      <c r="U777" s="32"/>
    </row>
    <row r="778">
      <c r="F778" s="31"/>
      <c r="U778" s="32"/>
    </row>
    <row r="779">
      <c r="F779" s="31"/>
      <c r="U779" s="32"/>
    </row>
    <row r="780">
      <c r="F780" s="31"/>
      <c r="U780" s="32"/>
    </row>
    <row r="781">
      <c r="F781" s="31"/>
      <c r="U781" s="32"/>
    </row>
    <row r="782">
      <c r="F782" s="31"/>
      <c r="U782" s="32"/>
    </row>
    <row r="783">
      <c r="F783" s="31"/>
      <c r="U783" s="32"/>
    </row>
    <row r="784">
      <c r="F784" s="31"/>
      <c r="U784" s="32"/>
    </row>
    <row r="785">
      <c r="F785" s="31"/>
      <c r="U785" s="32"/>
    </row>
    <row r="786">
      <c r="F786" s="31"/>
      <c r="U786" s="32"/>
    </row>
    <row r="787">
      <c r="F787" s="31"/>
      <c r="U787" s="32"/>
    </row>
    <row r="788">
      <c r="F788" s="31"/>
      <c r="U788" s="32"/>
    </row>
    <row r="789">
      <c r="F789" s="31"/>
      <c r="U789" s="32"/>
    </row>
    <row r="790">
      <c r="F790" s="31"/>
      <c r="U790" s="32"/>
    </row>
    <row r="791">
      <c r="F791" s="31"/>
      <c r="U791" s="32"/>
    </row>
    <row r="792">
      <c r="F792" s="31"/>
      <c r="U792" s="32"/>
    </row>
    <row r="793">
      <c r="F793" s="31"/>
      <c r="U793" s="32"/>
    </row>
    <row r="794">
      <c r="F794" s="31"/>
      <c r="U794" s="32"/>
    </row>
    <row r="795">
      <c r="F795" s="31"/>
      <c r="U795" s="32"/>
    </row>
    <row r="796">
      <c r="F796" s="31"/>
      <c r="U796" s="32"/>
    </row>
    <row r="797">
      <c r="F797" s="31"/>
      <c r="U797" s="32"/>
    </row>
    <row r="798">
      <c r="F798" s="31"/>
      <c r="U798" s="32"/>
    </row>
    <row r="799">
      <c r="F799" s="31"/>
      <c r="U799" s="32"/>
    </row>
    <row r="800">
      <c r="F800" s="31"/>
      <c r="U800" s="32"/>
    </row>
    <row r="801">
      <c r="F801" s="31"/>
      <c r="U801" s="32"/>
    </row>
    <row r="802">
      <c r="F802" s="31"/>
      <c r="U802" s="32"/>
    </row>
    <row r="803">
      <c r="F803" s="31"/>
      <c r="U803" s="32"/>
    </row>
    <row r="804">
      <c r="F804" s="31"/>
      <c r="U804" s="32"/>
    </row>
    <row r="805">
      <c r="F805" s="31"/>
      <c r="U805" s="32"/>
    </row>
    <row r="806">
      <c r="F806" s="31"/>
      <c r="U806" s="32"/>
    </row>
    <row r="807">
      <c r="F807" s="31"/>
      <c r="U807" s="32"/>
    </row>
    <row r="808">
      <c r="F808" s="31"/>
      <c r="U808" s="32"/>
    </row>
    <row r="809">
      <c r="F809" s="31"/>
      <c r="U809" s="32"/>
    </row>
    <row r="810">
      <c r="F810" s="31"/>
      <c r="U810" s="32"/>
    </row>
    <row r="811">
      <c r="F811" s="31"/>
      <c r="U811" s="32"/>
    </row>
    <row r="812">
      <c r="F812" s="31"/>
      <c r="U812" s="32"/>
    </row>
    <row r="813">
      <c r="F813" s="31"/>
      <c r="U813" s="32"/>
    </row>
    <row r="814">
      <c r="F814" s="31"/>
      <c r="U814" s="32"/>
    </row>
    <row r="815">
      <c r="F815" s="31"/>
      <c r="U815" s="32"/>
    </row>
    <row r="816">
      <c r="F816" s="31"/>
      <c r="U816" s="32"/>
    </row>
    <row r="817">
      <c r="F817" s="31"/>
      <c r="U817" s="32"/>
    </row>
    <row r="818">
      <c r="F818" s="31"/>
      <c r="U818" s="32"/>
    </row>
    <row r="819">
      <c r="F819" s="31"/>
      <c r="U819" s="32"/>
    </row>
    <row r="820">
      <c r="F820" s="31"/>
      <c r="U820" s="32"/>
    </row>
    <row r="821">
      <c r="F821" s="31"/>
      <c r="U821" s="32"/>
    </row>
    <row r="822">
      <c r="F822" s="31"/>
      <c r="U822" s="32"/>
    </row>
    <row r="823">
      <c r="F823" s="31"/>
      <c r="U823" s="32"/>
    </row>
    <row r="824">
      <c r="F824" s="31"/>
      <c r="U824" s="32"/>
    </row>
    <row r="825">
      <c r="F825" s="31"/>
      <c r="U825" s="32"/>
    </row>
    <row r="826">
      <c r="F826" s="31"/>
      <c r="U826" s="32"/>
    </row>
    <row r="827">
      <c r="F827" s="31"/>
      <c r="U827" s="32"/>
    </row>
    <row r="828">
      <c r="F828" s="31"/>
      <c r="U828" s="32"/>
    </row>
    <row r="829">
      <c r="F829" s="31"/>
      <c r="U829" s="32"/>
    </row>
    <row r="830">
      <c r="F830" s="31"/>
      <c r="U830" s="32"/>
    </row>
    <row r="831">
      <c r="F831" s="31"/>
      <c r="U831" s="32"/>
    </row>
    <row r="832">
      <c r="F832" s="31"/>
      <c r="U832" s="32"/>
    </row>
    <row r="833">
      <c r="F833" s="31"/>
      <c r="U833" s="32"/>
    </row>
    <row r="834">
      <c r="F834" s="31"/>
      <c r="U834" s="32"/>
    </row>
    <row r="835">
      <c r="F835" s="31"/>
      <c r="U835" s="32"/>
    </row>
    <row r="836">
      <c r="F836" s="31"/>
      <c r="U836" s="32"/>
    </row>
    <row r="837">
      <c r="F837" s="31"/>
      <c r="U837" s="32"/>
    </row>
    <row r="838">
      <c r="F838" s="31"/>
      <c r="U838" s="32"/>
    </row>
    <row r="839">
      <c r="F839" s="31"/>
      <c r="U839" s="32"/>
    </row>
    <row r="840">
      <c r="F840" s="31"/>
      <c r="U840" s="32"/>
    </row>
    <row r="841">
      <c r="F841" s="31"/>
      <c r="U841" s="32"/>
    </row>
    <row r="842">
      <c r="F842" s="31"/>
      <c r="U842" s="32"/>
    </row>
    <row r="843">
      <c r="F843" s="31"/>
      <c r="U843" s="32"/>
    </row>
    <row r="844">
      <c r="F844" s="31"/>
      <c r="U844" s="32"/>
    </row>
    <row r="845">
      <c r="F845" s="31"/>
      <c r="U845" s="32"/>
    </row>
    <row r="846">
      <c r="F846" s="31"/>
      <c r="U846" s="32"/>
    </row>
    <row r="847">
      <c r="F847" s="31"/>
      <c r="U847" s="32"/>
    </row>
    <row r="848">
      <c r="F848" s="31"/>
      <c r="U848" s="32"/>
    </row>
    <row r="849">
      <c r="F849" s="31"/>
      <c r="U849" s="32"/>
    </row>
    <row r="850">
      <c r="F850" s="31"/>
      <c r="U850" s="32"/>
    </row>
    <row r="851">
      <c r="F851" s="31"/>
      <c r="U851" s="32"/>
    </row>
    <row r="852">
      <c r="F852" s="31"/>
      <c r="U852" s="32"/>
    </row>
    <row r="853">
      <c r="F853" s="31"/>
      <c r="U853" s="32"/>
    </row>
    <row r="854">
      <c r="F854" s="31"/>
      <c r="U854" s="32"/>
    </row>
    <row r="855">
      <c r="F855" s="31"/>
      <c r="U855" s="32"/>
    </row>
    <row r="856">
      <c r="F856" s="31"/>
      <c r="U856" s="32"/>
    </row>
    <row r="857">
      <c r="F857" s="31"/>
      <c r="U857" s="32"/>
    </row>
    <row r="858">
      <c r="F858" s="31"/>
      <c r="U858" s="32"/>
    </row>
    <row r="859">
      <c r="F859" s="31"/>
      <c r="U859" s="32"/>
    </row>
    <row r="860">
      <c r="F860" s="31"/>
      <c r="U860" s="32"/>
    </row>
    <row r="861">
      <c r="F861" s="31"/>
      <c r="U861" s="32"/>
    </row>
    <row r="862">
      <c r="F862" s="31"/>
      <c r="U862" s="32"/>
    </row>
    <row r="863">
      <c r="F863" s="31"/>
      <c r="U863" s="32"/>
    </row>
    <row r="864">
      <c r="F864" s="31"/>
      <c r="U864" s="32"/>
    </row>
    <row r="865">
      <c r="F865" s="31"/>
      <c r="U865" s="32"/>
    </row>
    <row r="866">
      <c r="F866" s="31"/>
      <c r="U866" s="32"/>
    </row>
    <row r="867">
      <c r="F867" s="31"/>
      <c r="U867" s="32"/>
    </row>
    <row r="868">
      <c r="F868" s="31"/>
      <c r="U868" s="32"/>
    </row>
    <row r="869">
      <c r="F869" s="31"/>
      <c r="U869" s="32"/>
    </row>
    <row r="870">
      <c r="F870" s="31"/>
      <c r="U870" s="32"/>
    </row>
    <row r="871">
      <c r="F871" s="31"/>
      <c r="U871" s="32"/>
    </row>
    <row r="872">
      <c r="F872" s="31"/>
      <c r="U872" s="32"/>
    </row>
    <row r="873">
      <c r="F873" s="31"/>
      <c r="U873" s="32"/>
    </row>
    <row r="874">
      <c r="F874" s="31"/>
      <c r="U874" s="32"/>
    </row>
    <row r="875">
      <c r="F875" s="31"/>
      <c r="U875" s="32"/>
    </row>
    <row r="876">
      <c r="F876" s="31"/>
      <c r="U876" s="32"/>
    </row>
    <row r="877">
      <c r="F877" s="31"/>
      <c r="U877" s="32"/>
    </row>
    <row r="878">
      <c r="F878" s="31"/>
      <c r="U878" s="32"/>
    </row>
    <row r="879">
      <c r="F879" s="31"/>
      <c r="U879" s="32"/>
    </row>
    <row r="880">
      <c r="F880" s="31"/>
      <c r="U880" s="32"/>
    </row>
    <row r="881">
      <c r="F881" s="31"/>
      <c r="U881" s="32"/>
    </row>
    <row r="882">
      <c r="F882" s="31"/>
      <c r="U882" s="32"/>
    </row>
    <row r="883">
      <c r="F883" s="31"/>
      <c r="U883" s="32"/>
    </row>
    <row r="884">
      <c r="F884" s="31"/>
      <c r="U884" s="32"/>
    </row>
    <row r="885">
      <c r="F885" s="31"/>
      <c r="U885" s="32"/>
    </row>
    <row r="886">
      <c r="F886" s="31"/>
      <c r="U886" s="32"/>
    </row>
    <row r="887">
      <c r="F887" s="31"/>
      <c r="U887" s="32"/>
    </row>
    <row r="888">
      <c r="F888" s="31"/>
      <c r="U888" s="32"/>
    </row>
    <row r="889">
      <c r="F889" s="31"/>
      <c r="U889" s="32"/>
    </row>
    <row r="890">
      <c r="F890" s="31"/>
      <c r="U890" s="32"/>
    </row>
    <row r="891">
      <c r="F891" s="31"/>
      <c r="U891" s="32"/>
    </row>
    <row r="892">
      <c r="F892" s="31"/>
      <c r="U892" s="32"/>
    </row>
    <row r="893">
      <c r="F893" s="31"/>
      <c r="U893" s="32"/>
    </row>
    <row r="894">
      <c r="F894" s="31"/>
      <c r="U894" s="32"/>
    </row>
    <row r="895">
      <c r="F895" s="31"/>
      <c r="U895" s="32"/>
    </row>
    <row r="896">
      <c r="F896" s="31"/>
      <c r="U896" s="32"/>
    </row>
    <row r="897">
      <c r="F897" s="31"/>
      <c r="U897" s="32"/>
    </row>
    <row r="898">
      <c r="F898" s="31"/>
      <c r="U898" s="32"/>
    </row>
    <row r="899">
      <c r="F899" s="31"/>
      <c r="U899" s="32"/>
    </row>
    <row r="900">
      <c r="F900" s="31"/>
      <c r="U900" s="32"/>
    </row>
    <row r="901">
      <c r="F901" s="31"/>
      <c r="U901" s="32"/>
    </row>
    <row r="902">
      <c r="F902" s="31"/>
      <c r="U902" s="32"/>
    </row>
    <row r="903">
      <c r="F903" s="31"/>
      <c r="U903" s="32"/>
    </row>
    <row r="904">
      <c r="F904" s="31"/>
      <c r="U904" s="32"/>
    </row>
    <row r="905">
      <c r="F905" s="31"/>
      <c r="U905" s="32"/>
    </row>
    <row r="906">
      <c r="F906" s="31"/>
      <c r="U906" s="32"/>
    </row>
    <row r="907">
      <c r="F907" s="31"/>
      <c r="U907" s="32"/>
    </row>
    <row r="908">
      <c r="F908" s="31"/>
      <c r="U908" s="32"/>
    </row>
    <row r="909">
      <c r="F909" s="31"/>
      <c r="U909" s="32"/>
    </row>
    <row r="910">
      <c r="F910" s="31"/>
      <c r="U910" s="32"/>
    </row>
    <row r="911">
      <c r="F911" s="31"/>
      <c r="U911" s="32"/>
    </row>
    <row r="912">
      <c r="F912" s="31"/>
      <c r="U912" s="32"/>
    </row>
    <row r="913">
      <c r="F913" s="31"/>
      <c r="U913" s="32"/>
    </row>
    <row r="914">
      <c r="F914" s="31"/>
      <c r="U914" s="32"/>
    </row>
    <row r="915">
      <c r="F915" s="31"/>
      <c r="U915" s="32"/>
    </row>
    <row r="916">
      <c r="F916" s="31"/>
      <c r="U916" s="32"/>
    </row>
    <row r="917">
      <c r="F917" s="31"/>
      <c r="U917" s="32"/>
    </row>
    <row r="918">
      <c r="F918" s="31"/>
      <c r="U918" s="32"/>
    </row>
    <row r="919">
      <c r="F919" s="31"/>
      <c r="U919" s="32"/>
    </row>
    <row r="920">
      <c r="F920" s="31"/>
      <c r="U920" s="32"/>
    </row>
    <row r="921">
      <c r="F921" s="31"/>
      <c r="U921" s="32"/>
    </row>
    <row r="922">
      <c r="F922" s="31"/>
      <c r="U922" s="32"/>
    </row>
    <row r="923">
      <c r="F923" s="31"/>
      <c r="U923" s="32"/>
    </row>
    <row r="924">
      <c r="F924" s="31"/>
      <c r="U924" s="32"/>
    </row>
    <row r="925">
      <c r="F925" s="31"/>
      <c r="U925" s="32"/>
    </row>
    <row r="926">
      <c r="F926" s="31"/>
      <c r="U926" s="32"/>
    </row>
    <row r="927">
      <c r="F927" s="31"/>
      <c r="U927" s="32"/>
    </row>
    <row r="928">
      <c r="F928" s="31"/>
      <c r="U928" s="32"/>
    </row>
    <row r="929">
      <c r="F929" s="31"/>
      <c r="U929" s="32"/>
    </row>
    <row r="930">
      <c r="F930" s="31"/>
      <c r="U930" s="32"/>
    </row>
    <row r="931">
      <c r="F931" s="31"/>
      <c r="U931" s="32"/>
    </row>
    <row r="932">
      <c r="F932" s="31"/>
      <c r="U932" s="32"/>
    </row>
    <row r="933">
      <c r="F933" s="31"/>
      <c r="U933" s="32"/>
    </row>
    <row r="934">
      <c r="F934" s="31"/>
      <c r="U934" s="32"/>
    </row>
    <row r="935">
      <c r="F935" s="31"/>
      <c r="U935" s="32"/>
    </row>
    <row r="936">
      <c r="F936" s="31"/>
      <c r="U936" s="32"/>
    </row>
    <row r="937">
      <c r="F937" s="31"/>
      <c r="U937" s="32"/>
    </row>
    <row r="938">
      <c r="F938" s="31"/>
      <c r="U938" s="32"/>
    </row>
    <row r="939">
      <c r="F939" s="31"/>
      <c r="U939" s="32"/>
    </row>
    <row r="940">
      <c r="F940" s="31"/>
      <c r="U940" s="32"/>
    </row>
    <row r="941">
      <c r="F941" s="31"/>
      <c r="U941" s="32"/>
    </row>
    <row r="942">
      <c r="F942" s="31"/>
      <c r="U942" s="32"/>
    </row>
    <row r="943">
      <c r="F943" s="31"/>
      <c r="U943" s="32"/>
    </row>
    <row r="944">
      <c r="F944" s="31"/>
      <c r="U944" s="32"/>
    </row>
    <row r="945">
      <c r="F945" s="31"/>
      <c r="U945" s="32"/>
    </row>
    <row r="946">
      <c r="F946" s="31"/>
      <c r="U946" s="32"/>
    </row>
    <row r="947">
      <c r="F947" s="31"/>
      <c r="U947" s="32"/>
    </row>
    <row r="948">
      <c r="F948" s="31"/>
      <c r="U948" s="32"/>
    </row>
    <row r="949">
      <c r="F949" s="31"/>
      <c r="U949" s="32"/>
    </row>
    <row r="950">
      <c r="F950" s="31"/>
      <c r="U950" s="32"/>
    </row>
    <row r="951">
      <c r="F951" s="31"/>
      <c r="U951" s="32"/>
    </row>
    <row r="952">
      <c r="F952" s="31"/>
      <c r="U952" s="32"/>
    </row>
    <row r="953">
      <c r="F953" s="31"/>
      <c r="U953" s="32"/>
    </row>
    <row r="954">
      <c r="F954" s="31"/>
      <c r="U954" s="32"/>
    </row>
    <row r="955">
      <c r="F955" s="31"/>
      <c r="U955" s="32"/>
    </row>
    <row r="956">
      <c r="F956" s="31"/>
      <c r="U956" s="32"/>
    </row>
    <row r="957">
      <c r="F957" s="31"/>
      <c r="U957" s="32"/>
    </row>
    <row r="958">
      <c r="F958" s="31"/>
      <c r="U958" s="32"/>
    </row>
    <row r="959">
      <c r="F959" s="31"/>
      <c r="U959" s="32"/>
    </row>
    <row r="960">
      <c r="F960" s="31"/>
      <c r="U960" s="32"/>
    </row>
    <row r="961">
      <c r="F961" s="31"/>
      <c r="U961" s="32"/>
    </row>
    <row r="962">
      <c r="F962" s="31"/>
      <c r="U962" s="32"/>
    </row>
    <row r="963">
      <c r="F963" s="31"/>
      <c r="U963" s="32"/>
    </row>
    <row r="964">
      <c r="F964" s="31"/>
      <c r="U964" s="32"/>
    </row>
    <row r="965">
      <c r="F965" s="31"/>
      <c r="U965" s="32"/>
    </row>
    <row r="966">
      <c r="F966" s="31"/>
      <c r="U966" s="32"/>
    </row>
    <row r="967">
      <c r="F967" s="31"/>
      <c r="U967" s="32"/>
    </row>
    <row r="968">
      <c r="F968" s="31"/>
      <c r="U968" s="32"/>
    </row>
    <row r="969">
      <c r="F969" s="31"/>
      <c r="U969" s="32"/>
    </row>
    <row r="970">
      <c r="F970" s="31"/>
      <c r="U970" s="32"/>
    </row>
    <row r="971">
      <c r="F971" s="31"/>
      <c r="U971" s="32"/>
    </row>
    <row r="972">
      <c r="F972" s="31"/>
      <c r="U972" s="32"/>
    </row>
    <row r="973">
      <c r="F973" s="31"/>
      <c r="U973" s="32"/>
    </row>
    <row r="974">
      <c r="F974" s="31"/>
      <c r="U974" s="32"/>
    </row>
    <row r="975">
      <c r="F975" s="31"/>
      <c r="U975" s="32"/>
    </row>
    <row r="976">
      <c r="F976" s="31"/>
      <c r="U976" s="32"/>
    </row>
    <row r="977">
      <c r="F977" s="31"/>
      <c r="U977" s="32"/>
    </row>
    <row r="978">
      <c r="F978" s="31"/>
      <c r="U978" s="32"/>
    </row>
    <row r="979">
      <c r="F979" s="31"/>
      <c r="U979" s="32"/>
    </row>
    <row r="980">
      <c r="F980" s="31"/>
      <c r="U980" s="32"/>
    </row>
    <row r="981">
      <c r="F981" s="31"/>
      <c r="U981" s="32"/>
    </row>
    <row r="982">
      <c r="F982" s="31"/>
      <c r="U982" s="32"/>
    </row>
    <row r="983">
      <c r="F983" s="31"/>
      <c r="U983" s="32"/>
    </row>
    <row r="984">
      <c r="F984" s="31"/>
      <c r="U984" s="32"/>
    </row>
    <row r="985">
      <c r="F985" s="31"/>
      <c r="U985" s="32"/>
    </row>
    <row r="986">
      <c r="F986" s="31"/>
      <c r="U986" s="32"/>
    </row>
    <row r="987">
      <c r="F987" s="31"/>
      <c r="U987" s="32"/>
    </row>
    <row r="988">
      <c r="F988" s="31"/>
      <c r="U988" s="32"/>
    </row>
    <row r="989">
      <c r="F989" s="31"/>
      <c r="U989" s="32"/>
    </row>
    <row r="990">
      <c r="F990" s="31"/>
      <c r="U990" s="32"/>
    </row>
    <row r="991">
      <c r="F991" s="31"/>
      <c r="U991" s="32"/>
    </row>
    <row r="992">
      <c r="F992" s="31"/>
      <c r="U992" s="32"/>
    </row>
    <row r="993">
      <c r="F993" s="31"/>
      <c r="U993" s="32"/>
    </row>
    <row r="994">
      <c r="F994" s="31"/>
      <c r="U994" s="32"/>
    </row>
    <row r="995">
      <c r="F995" s="31"/>
      <c r="U995" s="32"/>
    </row>
    <row r="996">
      <c r="F996" s="31"/>
      <c r="U996" s="32"/>
    </row>
    <row r="997">
      <c r="F997" s="31"/>
      <c r="U997" s="32"/>
    </row>
    <row r="998">
      <c r="F998" s="31"/>
      <c r="U998" s="32"/>
    </row>
    <row r="999">
      <c r="F999" s="31"/>
      <c r="U999" s="32"/>
    </row>
  </sheetData>
  <dataValidations>
    <dataValidation type="list" allowBlank="1" sqref="D2:D23">
      <formula1>"LOX,HTP,Water,N2O"</formula1>
    </dataValidation>
    <dataValidation type="list" allowBlank="1" showErrorMessage="1" sqref="F2:F999">
      <formula1>"Electric Pump,Expander,Full-Flow Staged Combustion,Gas Generator,Staged Combustion"</formula1>
    </dataValidation>
    <dataValidation type="list" allowBlank="1" sqref="E2:E23">
      <formula1>"RP-1,Hydrogen,Methane,Kerosene,JP-7"</formula1>
    </dataValidation>
    <dataValidation type="custom" allowBlank="1" showDropDown="1" sqref="H2:H23 J2:J23 M2:N23 R2:T23">
      <formula1>AND(ISNUMBER(H2),(NOT(OR(NOT(ISERROR(DATEVALUE(H2))), AND(ISNUMBER(H2), LEFT(CELL("format", H2))="D")))))</formula1>
    </dataValidation>
    <dataValidation type="list" allowBlank="1" sqref="I2:I23">
      <formula1>"First Stage,Second Stage"</formula1>
    </dataValidation>
    <dataValidation type="custom" allowBlank="1" showDropDown="1" sqref="U2:U23 X2:Y23">
      <formula1>AND(ISNUMBER(U2),(NOT(OR(NOT(ISERROR(DATEVALUE(U2))), AND(ISNUMBER(U2), LEFT(CELL("format", U2))="D")))))</formula1>
    </dataValidation>
  </dataValidations>
  <hyperlinks>
    <hyperlink r:id="rId1" ref="C15"/>
    <hyperlink r:id="rId2" ref="C16"/>
    <hyperlink r:id="rId3" ref="C17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3" t="s">
        <v>3</v>
      </c>
      <c r="B1" s="33" t="s">
        <v>21</v>
      </c>
      <c r="C1" s="33" t="s">
        <v>4</v>
      </c>
      <c r="D1" s="33" t="s">
        <v>22</v>
      </c>
    </row>
    <row r="2" ht="22.5" customHeight="1">
      <c r="A2" s="15" t="s">
        <v>33</v>
      </c>
      <c r="B2" s="15">
        <v>1141.0</v>
      </c>
      <c r="C2" s="15" t="s">
        <v>29</v>
      </c>
      <c r="D2" s="15">
        <v>820.0</v>
      </c>
    </row>
    <row r="3" ht="22.5" customHeight="1">
      <c r="A3" s="15" t="s">
        <v>68</v>
      </c>
      <c r="B3" s="15">
        <v>1440.0</v>
      </c>
      <c r="C3" s="15" t="s">
        <v>39</v>
      </c>
      <c r="D3" s="15">
        <v>71.0</v>
      </c>
    </row>
    <row r="4" ht="22.5" customHeight="1">
      <c r="A4" s="15" t="s">
        <v>84</v>
      </c>
      <c r="B4" s="15">
        <v>1000.0</v>
      </c>
      <c r="C4" s="15" t="s">
        <v>57</v>
      </c>
      <c r="D4" s="15">
        <v>422.0</v>
      </c>
    </row>
    <row r="5" ht="22.5" customHeight="1">
      <c r="A5" s="15" t="s">
        <v>28</v>
      </c>
      <c r="B5" s="15">
        <v>800.0</v>
      </c>
      <c r="C5" s="15" t="s">
        <v>69</v>
      </c>
      <c r="D5" s="15">
        <v>810.0</v>
      </c>
    </row>
    <row r="6" ht="22.5" customHeight="1">
      <c r="A6" s="11"/>
      <c r="B6" s="11"/>
      <c r="C6" s="34" t="s">
        <v>79</v>
      </c>
      <c r="D6" s="34">
        <v>800.0</v>
      </c>
    </row>
  </sheetData>
  <drawing r:id="rId1"/>
  <tableParts count="1">
    <tablePart r:id="rId3"/>
  </tableParts>
</worksheet>
</file>